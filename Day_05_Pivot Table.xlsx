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Data analysis Course\Sourse\day 05\"/>
    </mc:Choice>
  </mc:AlternateContent>
  <xr:revisionPtr revIDLastSave="0" documentId="13_ncr:1_{667F3A6F-CDE5-4930-8E10-78EDE448C983}" xr6:coauthVersionLast="47" xr6:coauthVersionMax="47" xr10:uidLastSave="{00000000-0000-0000-0000-000000000000}"/>
  <bookViews>
    <workbookView xWindow="-120" yWindow="-120" windowWidth="20730" windowHeight="11040" activeTab="1" xr2:uid="{17F2B9DA-7178-4D89-B062-33631EE6697F}"/>
  </bookViews>
  <sheets>
    <sheet name="Sheet4" sheetId="4" r:id="rId1"/>
    <sheet name="Sheet1" sheetId="1" r:id="rId2"/>
    <sheet name="Sheet3" sheetId="3" r:id="rId3"/>
  </sheets>
  <definedNames>
    <definedName name="Slicer_Product_ID">#N/A</definedName>
    <definedName name="Slicer_Product_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 i="1" l="1"/>
  <c r="C3" i="1"/>
  <c r="C4" i="1"/>
  <c r="C5" i="1"/>
  <c r="C6"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2" i="1"/>
  <c r="H38" i="1"/>
  <c r="I13" i="1"/>
  <c r="H12" i="1"/>
  <c r="J6" i="1"/>
  <c r="H3" i="1"/>
  <c r="H5" i="1"/>
  <c r="J2" i="1"/>
  <c r="H2" i="1"/>
  <c r="G2" i="1"/>
  <c r="J3" i="1"/>
  <c r="J4" i="1"/>
  <c r="J5"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I3" i="1"/>
  <c r="I4" i="1"/>
  <c r="I5" i="1"/>
  <c r="I6" i="1"/>
  <c r="I7" i="1"/>
  <c r="I8" i="1"/>
  <c r="I9" i="1"/>
  <c r="I10" i="1"/>
  <c r="I11" i="1"/>
  <c r="I12"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2" i="1"/>
  <c r="H4" i="1"/>
  <c r="H6" i="1"/>
  <c r="H7" i="1"/>
  <c r="H8" i="1"/>
  <c r="H9" i="1"/>
  <c r="H10" i="1"/>
  <c r="H11" i="1"/>
  <c r="H13" i="1"/>
  <c r="H14" i="1"/>
  <c r="H15" i="1"/>
  <c r="H16" i="1"/>
  <c r="H17" i="1"/>
  <c r="H18" i="1"/>
  <c r="H19" i="1"/>
  <c r="H20" i="1"/>
  <c r="H21" i="1"/>
  <c r="H22" i="1"/>
  <c r="H23" i="1"/>
  <c r="H24" i="1"/>
  <c r="H25" i="1"/>
  <c r="H26" i="1"/>
  <c r="H27" i="1"/>
  <c r="H28" i="1"/>
  <c r="H29" i="1"/>
  <c r="H30" i="1"/>
  <c r="H31" i="1"/>
  <c r="H32" i="1"/>
  <c r="H33" i="1"/>
  <c r="H34" i="1"/>
  <c r="H35" i="1"/>
  <c r="H36" i="1"/>
  <c r="H37" i="1"/>
  <c r="H39" i="1"/>
  <c r="H40" i="1"/>
  <c r="H4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alcChain>
</file>

<file path=xl/sharedStrings.xml><?xml version="1.0" encoding="utf-8"?>
<sst xmlns="http://schemas.openxmlformats.org/spreadsheetml/2006/main" count="283" uniqueCount="121">
  <si>
    <t>Sale ID</t>
  </si>
  <si>
    <t>Date</t>
  </si>
  <si>
    <t>Product ID</t>
  </si>
  <si>
    <t>Region</t>
  </si>
  <si>
    <t>Qty Sold</t>
  </si>
  <si>
    <t>Total Sale (৳)</t>
  </si>
  <si>
    <t>S001</t>
  </si>
  <si>
    <t>2024-01-05</t>
  </si>
  <si>
    <t>P001</t>
  </si>
  <si>
    <t>Dhaka</t>
  </si>
  <si>
    <t>S002</t>
  </si>
  <si>
    <t>2024-01-12</t>
  </si>
  <si>
    <t>P002</t>
  </si>
  <si>
    <t>Chittagong</t>
  </si>
  <si>
    <t>S003</t>
  </si>
  <si>
    <t>2024-01-20</t>
  </si>
  <si>
    <t>P003</t>
  </si>
  <si>
    <t>Sylhet</t>
  </si>
  <si>
    <t>S004</t>
  </si>
  <si>
    <t>01/25/2024</t>
  </si>
  <si>
    <t>P004</t>
  </si>
  <si>
    <t>Rajshahi</t>
  </si>
  <si>
    <t>S005</t>
  </si>
  <si>
    <t>2024-02-03</t>
  </si>
  <si>
    <t>P005</t>
  </si>
  <si>
    <t>Khulna</t>
  </si>
  <si>
    <t>S006</t>
  </si>
  <si>
    <t>2024-02-10</t>
  </si>
  <si>
    <t>P006</t>
  </si>
  <si>
    <t>S007</t>
  </si>
  <si>
    <t>2024-02-18</t>
  </si>
  <si>
    <t>P007</t>
  </si>
  <si>
    <t>S009</t>
  </si>
  <si>
    <t>2024-03-01</t>
  </si>
  <si>
    <t>P009</t>
  </si>
  <si>
    <t>S010</t>
  </si>
  <si>
    <t>2024-03-08</t>
  </si>
  <si>
    <t>P010</t>
  </si>
  <si>
    <t>S011</t>
  </si>
  <si>
    <t>2024-03-15</t>
  </si>
  <si>
    <t>S012</t>
  </si>
  <si>
    <t>2024-03-22</t>
  </si>
  <si>
    <t>S013</t>
  </si>
  <si>
    <t>03-28-2024</t>
  </si>
  <si>
    <t>S014</t>
  </si>
  <si>
    <t>2024-04-02</t>
  </si>
  <si>
    <t>S015</t>
  </si>
  <si>
    <t>2024-04-10</t>
  </si>
  <si>
    <t>S017</t>
  </si>
  <si>
    <t>2024-04-25</t>
  </si>
  <si>
    <t>S018</t>
  </si>
  <si>
    <t>2024-05-05</t>
  </si>
  <si>
    <t>P008</t>
  </si>
  <si>
    <t>S019</t>
  </si>
  <si>
    <t>2024-05-12</t>
  </si>
  <si>
    <t>S020</t>
  </si>
  <si>
    <t>2024-05-20</t>
  </si>
  <si>
    <t>S021</t>
  </si>
  <si>
    <t>2024-05-28</t>
  </si>
  <si>
    <t>S022</t>
  </si>
  <si>
    <t>2024-06-03</t>
  </si>
  <si>
    <t>S023</t>
  </si>
  <si>
    <t>2024-06-10</t>
  </si>
  <si>
    <t>S025</t>
  </si>
  <si>
    <t>2024-06-25</t>
  </si>
  <si>
    <t>S026</t>
  </si>
  <si>
    <t>2024-07-02</t>
  </si>
  <si>
    <t>S027</t>
  </si>
  <si>
    <t>2024-07-10</t>
  </si>
  <si>
    <t>S028</t>
  </si>
  <si>
    <t>2024-07-18</t>
  </si>
  <si>
    <t>S029</t>
  </si>
  <si>
    <t>2024-07-25</t>
  </si>
  <si>
    <t>S030</t>
  </si>
  <si>
    <t>2024-08-01</t>
  </si>
  <si>
    <t>S031</t>
  </si>
  <si>
    <t>2024-08-10</t>
  </si>
  <si>
    <t>S032</t>
  </si>
  <si>
    <t>2024-08-18</t>
  </si>
  <si>
    <t>S033</t>
  </si>
  <si>
    <t>2024-08-25</t>
  </si>
  <si>
    <t>S035</t>
  </si>
  <si>
    <t>2024-09-12</t>
  </si>
  <si>
    <t>S036</t>
  </si>
  <si>
    <t>2024-09-20</t>
  </si>
  <si>
    <t>S037</t>
  </si>
  <si>
    <t>2024-09-28</t>
  </si>
  <si>
    <t>S038</t>
  </si>
  <si>
    <t>2024-10-05</t>
  </si>
  <si>
    <t>S039</t>
  </si>
  <si>
    <t>2024-10-15</t>
  </si>
  <si>
    <t>S040</t>
  </si>
  <si>
    <t>2024-10-22</t>
  </si>
  <si>
    <t>S041</t>
  </si>
  <si>
    <t>2024-11-01</t>
  </si>
  <si>
    <t>Product Name</t>
  </si>
  <si>
    <t>Category</t>
  </si>
  <si>
    <t>Brand</t>
  </si>
  <si>
    <t>Unit Price (৳)</t>
  </si>
  <si>
    <t>Laptop Pro</t>
  </si>
  <si>
    <t>Electronics</t>
  </si>
  <si>
    <t>TechBrand</t>
  </si>
  <si>
    <t>Wireless Mouse</t>
  </si>
  <si>
    <t>Accessories</t>
  </si>
  <si>
    <t>Office Chair</t>
  </si>
  <si>
    <t>Furniture</t>
  </si>
  <si>
    <t>ComfortZone</t>
  </si>
  <si>
    <t>Notebook Set</t>
  </si>
  <si>
    <t>Stationery</t>
  </si>
  <si>
    <t>WriteRight</t>
  </si>
  <si>
    <t>USB-C Hub</t>
  </si>
  <si>
    <t>Standing Desk</t>
  </si>
  <si>
    <t>Webcam HD</t>
  </si>
  <si>
    <t>Pen Drive 128GB</t>
  </si>
  <si>
    <t>StorePro</t>
  </si>
  <si>
    <t>Monitor 27"</t>
  </si>
  <si>
    <t>Desk Lamp LED</t>
  </si>
  <si>
    <t>Grand Total</t>
  </si>
  <si>
    <t>Sum of Total Sale (৳)</t>
  </si>
  <si>
    <t>Sum of Qty Sold</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</si>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</sst>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Arial"/>
      <family val="2"/>
    </font>
    <font>
      <sz val="10"/>
      <name val="Arial"/>
      <family val="2"/>
    </font>
    <font>
      <sz val="10"/>
      <color rgb="FF000000"/>
      <name val="Arial"/>
      <family val="2"/>
    </font>
  </fonts>
  <fills count="6">
    <fill>
      <patternFill patternType="none"/>
    </fill>
    <fill>
      <patternFill patternType="gray125"/>
    </fill>
    <fill>
      <patternFill patternType="solid">
        <fgColor rgb="FF2E75B6"/>
        <bgColor rgb="FF4672A8"/>
      </patternFill>
    </fill>
    <fill>
      <patternFill patternType="solid">
        <fgColor rgb="FFF2F2F2"/>
        <bgColor rgb="FFF0F0F0"/>
      </patternFill>
    </fill>
    <fill>
      <patternFill patternType="solid">
        <fgColor rgb="FF375623"/>
        <bgColor rgb="FF444444"/>
      </patternFill>
    </fill>
    <fill>
      <patternFill patternType="solid">
        <fgColor rgb="FFE2EFDA"/>
        <bgColor rgb="FFF0F0F0"/>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xf>
    <xf numFmtId="4" fontId="3"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0" fontId="1" fillId="4" borderId="0" xfId="0" applyFont="1" applyFill="1" applyAlignment="1">
      <alignment horizontal="center" vertical="center" wrapText="1"/>
    </xf>
    <xf numFmtId="0" fontId="2" fillId="5" borderId="1" xfId="0" applyFont="1" applyFill="1" applyBorder="1" applyAlignment="1">
      <alignment horizontal="center" vertical="center"/>
    </xf>
    <xf numFmtId="4" fontId="2" fillId="5" borderId="1" xfId="0" applyNumberFormat="1" applyFont="1" applyFill="1" applyBorder="1" applyAlignment="1">
      <alignment horizontal="center" vertical="center"/>
    </xf>
    <xf numFmtId="4" fontId="2" fillId="0" borderId="1" xfId="0" applyNumberFormat="1" applyFont="1" applyBorder="1" applyAlignment="1">
      <alignment horizontal="center" vertical="center"/>
    </xf>
    <xf numFmtId="0" fontId="0" fillId="0" borderId="0" xfId="0" pivotButton="1"/>
    <xf numFmtId="4"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[Day_05_Pivot Table.xlsx]Sheet4!id_sale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Sheet4!$A$4:$A$14</c:f>
              <c:strCache>
                <c:ptCount val="10"/>
                <c:pt idx="0">
                  <c:v>P001</c:v>
                </c:pt>
                <c:pt idx="1">
                  <c:v>P002</c:v>
                </c:pt>
                <c:pt idx="2">
                  <c:v>P003</c:v>
                </c:pt>
                <c:pt idx="3">
                  <c:v>P004</c:v>
                </c:pt>
                <c:pt idx="4">
                  <c:v>P005</c:v>
                </c:pt>
                <c:pt idx="5">
                  <c:v>P006</c:v>
                </c:pt>
                <c:pt idx="6">
                  <c:v>P007</c:v>
                </c:pt>
                <c:pt idx="7">
                  <c:v>P008</c:v>
                </c:pt>
                <c:pt idx="8">
                  <c:v>P009</c:v>
                </c:pt>
                <c:pt idx="9">
                  <c:v>P010</c:v>
                </c:pt>
              </c:strCache>
            </c:strRef>
          </c:cat>
          <c:val>
            <c:numRef>
              <c:f>Sheet4!$B$4:$B$14</c:f>
              <c:numCache>
                <c:formatCode>#,##0.00</c:formatCode>
                <c:ptCount val="10"/>
                <c:pt idx="0">
                  <c:v>3025000</c:v>
                </c:pt>
                <c:pt idx="1">
                  <c:v>36000</c:v>
                </c:pt>
                <c:pt idx="2">
                  <c:v>435000</c:v>
                </c:pt>
                <c:pt idx="3">
                  <c:v>4950</c:v>
                </c:pt>
                <c:pt idx="4">
                  <c:v>143500</c:v>
                </c:pt>
                <c:pt idx="5">
                  <c:v>1036000</c:v>
                </c:pt>
                <c:pt idx="6">
                  <c:v>148500</c:v>
                </c:pt>
                <c:pt idx="7">
                  <c:v>28900</c:v>
                </c:pt>
                <c:pt idx="8">
                  <c:v>448000</c:v>
                </c:pt>
                <c:pt idx="9">
                  <c:v>138600</c:v>
                </c:pt>
              </c:numCache>
            </c:numRef>
          </c:val>
          <c:extLst>
            <c:ext xmlns:c16="http://schemas.microsoft.com/office/drawing/2014/chart" uri="{C3380CC4-5D6E-409C-BE32-E72D297353CC}">
              <c16:uniqueId val="{00000000-DD4D-4DBF-965F-26E8112F4C2B}"/>
            </c:ext>
          </c:extLst>
        </c:ser>
        <c:dLbls>
          <c:showLegendKey val="0"/>
          <c:showVal val="0"/>
          <c:showCatName val="0"/>
          <c:showSerName val="0"/>
          <c:showPercent val="0"/>
          <c:showBubbleSize val="0"/>
        </c:dLbls>
        <c:gapWidth val="150"/>
        <c:overlap val="100"/>
        <c:axId val="458689296"/>
        <c:axId val="458689656"/>
      </c:barChart>
      <c:catAx>
        <c:axId val="4586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89656"/>
        <c:crosses val="autoZero"/>
        <c:auto val="1"/>
        <c:lblAlgn val="ctr"/>
        <c:lblOffset val="100"/>
        <c:noMultiLvlLbl val="0"/>
      </c:catAx>
      <c:valAx>
        <c:axId val="458689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8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[Day_05_Pivot Table.xlsx]Sheet4!id_qty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Sheet4!$E$3</c:f>
              <c:strCache>
                <c:ptCount val="1"/>
                <c:pt idx="0">
                  <c:v>Total</c:v>
                </c:pt>
              </c:strCache>
            </c:strRef>
          </c:tx>
          <c:spPr>
            <a:solidFill>
              <a:schemeClr val="accent1"/>
            </a:solidFill>
            <a:ln>
              <a:noFill/>
            </a:ln>
            <a:effectLst/>
          </c:spPr>
          <c:invertIfNegative val="0"/>
          <c:cat>
            <c:strRef>
              <c:f>Sheet4!$D$4:$D$14</c:f>
              <c:strCache>
                <c:ptCount val="10"/>
                <c:pt idx="0">
                  <c:v>P001</c:v>
                </c:pt>
                <c:pt idx="1">
                  <c:v>P002</c:v>
                </c:pt>
                <c:pt idx="2">
                  <c:v>P003</c:v>
                </c:pt>
                <c:pt idx="3">
                  <c:v>P004</c:v>
                </c:pt>
                <c:pt idx="4">
                  <c:v>P005</c:v>
                </c:pt>
                <c:pt idx="5">
                  <c:v>P006</c:v>
                </c:pt>
                <c:pt idx="6">
                  <c:v>P007</c:v>
                </c:pt>
                <c:pt idx="7">
                  <c:v>P008</c:v>
                </c:pt>
                <c:pt idx="8">
                  <c:v>P009</c:v>
                </c:pt>
                <c:pt idx="9">
                  <c:v>P010</c:v>
                </c:pt>
              </c:strCache>
            </c:strRef>
          </c:cat>
          <c:val>
            <c:numRef>
              <c:f>Sheet4!$E$4:$E$14</c:f>
              <c:numCache>
                <c:formatCode>General</c:formatCode>
                <c:ptCount val="10"/>
                <c:pt idx="0">
                  <c:v>55</c:v>
                </c:pt>
                <c:pt idx="1">
                  <c:v>30</c:v>
                </c:pt>
                <c:pt idx="2">
                  <c:v>29</c:v>
                </c:pt>
                <c:pt idx="3">
                  <c:v>11</c:v>
                </c:pt>
                <c:pt idx="4">
                  <c:v>41</c:v>
                </c:pt>
                <c:pt idx="5">
                  <c:v>37</c:v>
                </c:pt>
                <c:pt idx="6">
                  <c:v>33</c:v>
                </c:pt>
                <c:pt idx="7">
                  <c:v>34</c:v>
                </c:pt>
                <c:pt idx="8">
                  <c:v>14</c:v>
                </c:pt>
                <c:pt idx="9">
                  <c:v>63</c:v>
                </c:pt>
              </c:numCache>
            </c:numRef>
          </c:val>
          <c:extLst>
            <c:ext xmlns:c16="http://schemas.microsoft.com/office/drawing/2014/chart" uri="{C3380CC4-5D6E-409C-BE32-E72D297353CC}">
              <c16:uniqueId val="{00000000-7852-4B5C-8A67-889B925A887E}"/>
            </c:ext>
          </c:extLst>
        </c:ser>
        <c:dLbls>
          <c:showLegendKey val="0"/>
          <c:showVal val="0"/>
          <c:showCatName val="0"/>
          <c:showSerName val="0"/>
          <c:showPercent val="0"/>
          <c:showBubbleSize val="0"/>
        </c:dLbls>
        <c:gapWidth val="182"/>
        <c:axId val="408193632"/>
        <c:axId val="408193992"/>
      </c:barChart>
      <c:catAx>
        <c:axId val="40819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193992"/>
        <c:crosses val="autoZero"/>
        <c:auto val="1"/>
        <c:lblAlgn val="ctr"/>
        <c:lblOffset val="100"/>
        <c:noMultiLvlLbl val="0"/>
      </c:catAx>
      <c:valAx>
        <c:axId val="408193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19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[Day_05_Pivot Table.xlsx]Sheet4!region_sale</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Sheet4!$B$18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B4-4367-9F90-C344D1647DB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B4-4367-9F90-C344D1647DB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BB4-4367-9F90-C344D1647DB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BB4-4367-9F90-C344D1647DB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BB4-4367-9F90-C344D1647D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Sheet4!$A$19:$A$24</c:f>
              <c:strCache>
                <c:ptCount val="5"/>
                <c:pt idx="0">
                  <c:v>Chittagong</c:v>
                </c:pt>
                <c:pt idx="1">
                  <c:v>Dhaka</c:v>
                </c:pt>
                <c:pt idx="2">
                  <c:v>Khulna</c:v>
                </c:pt>
                <c:pt idx="3">
                  <c:v>Rajshahi</c:v>
                </c:pt>
                <c:pt idx="4">
                  <c:v>Sylhet</c:v>
                </c:pt>
              </c:strCache>
            </c:strRef>
          </c:cat>
          <c:val>
            <c:numRef>
              <c:f>Sheet4!$B$19:$B$24</c:f>
              <c:numCache>
                <c:formatCode>#,##0.00</c:formatCode>
                <c:ptCount val="5"/>
                <c:pt idx="0">
                  <c:v>184500</c:v>
                </c:pt>
                <c:pt idx="1">
                  <c:v>4061000</c:v>
                </c:pt>
                <c:pt idx="2">
                  <c:v>282100</c:v>
                </c:pt>
                <c:pt idx="3">
                  <c:v>452950</c:v>
                </c:pt>
                <c:pt idx="4">
                  <c:v>463900</c:v>
                </c:pt>
              </c:numCache>
            </c:numRef>
          </c:val>
          <c:extLst>
            <c:ext xmlns:c16="http://schemas.microsoft.com/office/drawing/2014/chart" uri="{C3380CC4-5D6E-409C-BE32-E72D297353CC}">
              <c16:uniqueId val="{00000000-D91A-4D95-9D6C-AEE58087B53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[Day_05_Pivot Table.xlsx]Sheet4!region_qty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Sheet4!$E$18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Sheet4!$D$19:$D$24</c:f>
              <c:strCache>
                <c:ptCount val="5"/>
                <c:pt idx="0">
                  <c:v>Chittagong</c:v>
                </c:pt>
                <c:pt idx="1">
                  <c:v>Dhaka</c:v>
                </c:pt>
                <c:pt idx="2">
                  <c:v>Khulna</c:v>
                </c:pt>
                <c:pt idx="3">
                  <c:v>Rajshahi</c:v>
                </c:pt>
                <c:pt idx="4">
                  <c:v>Sylhet</c:v>
                </c:pt>
              </c:strCache>
            </c:strRef>
          </c:cat>
          <c:val>
            <c:numRef>
              <c:f>Sheet4!$E$19:$E$24</c:f>
              <c:numCache>
                <c:formatCode>General</c:formatCode>
                <c:ptCount val="5"/>
                <c:pt idx="0">
                  <c:v>63</c:v>
                </c:pt>
                <c:pt idx="1">
                  <c:v>92</c:v>
                </c:pt>
                <c:pt idx="2">
                  <c:v>104</c:v>
                </c:pt>
                <c:pt idx="3">
                  <c:v>25</c:v>
                </c:pt>
                <c:pt idx="4">
                  <c:v>63</c:v>
                </c:pt>
              </c:numCache>
            </c:numRef>
          </c:val>
          <c:smooth val="0"/>
          <c:extLst>
            <c:ext xmlns:c16="http://schemas.microsoft.com/office/drawing/2014/chart" uri="{C3380CC4-5D6E-409C-BE32-E72D297353CC}">
              <c16:uniqueId val="{00000000-E252-41ED-88DF-72EF10C344FE}"/>
            </c:ext>
          </c:extLst>
        </c:ser>
        <c:dLbls>
          <c:showLegendKey val="0"/>
          <c:showVal val="0"/>
          <c:showCatName val="0"/>
          <c:showSerName val="0"/>
          <c:showPercent val="0"/>
          <c:showBubbleSize val="0"/>
        </c:dLbls>
        <c:marker val="1"/>
        <c:smooth val="0"/>
        <c:axId val="612825336"/>
        <c:axId val="612824976"/>
      </c:lineChart>
      <c:catAx>
        <c:axId val="612825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824976"/>
        <c:crosses val="autoZero"/>
        <c:auto val="1"/>
        <c:lblAlgn val="ctr"/>
        <c:lblOffset val="100"/>
        <c:noMultiLvlLbl val="0"/>
      </c:catAx>
      <c:valAx>
        <c:axId val="6128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825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[Day_05_Pivot Table.xlsx]Sheet4!name_sale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Sheet4!$H$3</c:f>
              <c:strCache>
                <c:ptCount val="1"/>
                <c:pt idx="0">
                  <c:v>Total</c:v>
                </c:pt>
              </c:strCache>
            </c:strRef>
          </c:tx>
          <c:spPr>
            <a:solidFill>
              <a:schemeClr val="accent1"/>
            </a:solidFill>
            <a:ln>
              <a:noFill/>
            </a:ln>
            <a:effectLst/>
          </c:spPr>
          <c:cat>
            <c:strRef>
              <c:f>Sheet4!$G$4:$G$14</c:f>
              <c:strCache>
                <c:ptCount val="10"/>
                <c:pt idx="0">
                  <c:v>Desk Lamp LED</c:v>
                </c:pt>
                <c:pt idx="1">
                  <c:v>Laptop Pro</c:v>
                </c:pt>
                <c:pt idx="2">
                  <c:v>Monitor 27"</c:v>
                </c:pt>
                <c:pt idx="3">
                  <c:v>Notebook Set</c:v>
                </c:pt>
                <c:pt idx="4">
                  <c:v>Office Chair</c:v>
                </c:pt>
                <c:pt idx="5">
                  <c:v>Pen Drive 128GB</c:v>
                </c:pt>
                <c:pt idx="6">
                  <c:v>Standing Desk</c:v>
                </c:pt>
                <c:pt idx="7">
                  <c:v>USB-C Hub</c:v>
                </c:pt>
                <c:pt idx="8">
                  <c:v>Webcam HD</c:v>
                </c:pt>
                <c:pt idx="9">
                  <c:v>Wireless Mouse</c:v>
                </c:pt>
              </c:strCache>
            </c:strRef>
          </c:cat>
          <c:val>
            <c:numRef>
              <c:f>Sheet4!$H$4:$H$14</c:f>
              <c:numCache>
                <c:formatCode>#,##0.00</c:formatCode>
                <c:ptCount val="10"/>
                <c:pt idx="0">
                  <c:v>138600</c:v>
                </c:pt>
                <c:pt idx="1">
                  <c:v>3025000</c:v>
                </c:pt>
                <c:pt idx="2">
                  <c:v>448000</c:v>
                </c:pt>
                <c:pt idx="3">
                  <c:v>4950</c:v>
                </c:pt>
                <c:pt idx="4">
                  <c:v>435000</c:v>
                </c:pt>
                <c:pt idx="5">
                  <c:v>28900</c:v>
                </c:pt>
                <c:pt idx="6">
                  <c:v>1036000</c:v>
                </c:pt>
                <c:pt idx="7">
                  <c:v>143500</c:v>
                </c:pt>
                <c:pt idx="8">
                  <c:v>148500</c:v>
                </c:pt>
                <c:pt idx="9">
                  <c:v>36000</c:v>
                </c:pt>
              </c:numCache>
            </c:numRef>
          </c:val>
          <c:extLst>
            <c:ext xmlns:c16="http://schemas.microsoft.com/office/drawing/2014/chart" uri="{C3380CC4-5D6E-409C-BE32-E72D297353CC}">
              <c16:uniqueId val="{00000000-9C63-4050-8307-ADBF1FCD12FD}"/>
            </c:ext>
          </c:extLst>
        </c:ser>
        <c:dLbls>
          <c:showLegendKey val="0"/>
          <c:showVal val="0"/>
          <c:showCatName val="0"/>
          <c:showSerName val="0"/>
          <c:showPercent val="0"/>
          <c:showBubbleSize val="0"/>
        </c:dLbls>
        <c:axId val="458688216"/>
        <c:axId val="458690016"/>
      </c:areaChart>
      <c:catAx>
        <c:axId val="458688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90016"/>
        <c:crosses val="autoZero"/>
        <c:auto val="1"/>
        <c:lblAlgn val="ctr"/>
        <c:lblOffset val="100"/>
        <c:noMultiLvlLbl val="0"/>
      </c:catAx>
      <c:valAx>
        <c:axId val="458690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882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285751</xdr:colOff>
      <xdr:row>0</xdr:row>
      <xdr:rowOff>76201</xdr:rowOff>
    </xdr:from>
    <xdr:to>
      <xdr:col>15</xdr:col>
      <xdr:colOff>409575</xdr:colOff>
      <xdr:row>7</xdr:row>
      <xdr:rowOff>1</xdr:rowOff>
    </xdr:to>
    <mc:AlternateContent xmlns:mc="http://schemas.openxmlformats.org/markup-compatibility/2006" xmlns:a14="http://schemas.microsoft.com/office/drawing/2010/main">
      <mc:Choice Requires="a14">
        <xdr:graphicFrame macro="">
          <xdr:nvGraphicFramePr>
            <xdr:cNvPr id="2" name="Product ID">
              <a:extLst>
                <a:ext uri="{FF2B5EF4-FFF2-40B4-BE49-F238E27FC236}">
                  <a16:creationId xmlns:a16="http://schemas.microsoft.com/office/drawing/2014/main" id="{452135CD-C6CA-824F-D27C-DD90765A6E4B}"/>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12439651" y="76201"/>
              <a:ext cx="2962274"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285750</xdr:colOff>
      <xdr:row>7</xdr:row>
      <xdr:rowOff>95251</xdr:rowOff>
    </xdr:from>
    <xdr:to>
      <xdr:col>15</xdr:col>
      <xdr:colOff>400050</xdr:colOff>
      <xdr:row>14</xdr:row>
      <xdr:rowOff>95251</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54EE9F35-93B8-A30B-CABB-1A60B06C541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2439650" y="1428751"/>
              <a:ext cx="295275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285750</xdr:colOff>
      <xdr:row>15</xdr:row>
      <xdr:rowOff>9526</xdr:rowOff>
    </xdr:from>
    <xdr:to>
      <xdr:col>15</xdr:col>
      <xdr:colOff>381000</xdr:colOff>
      <xdr:row>20</xdr:row>
      <xdr:rowOff>47626</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674AC81-DA0B-7161-9F0D-2C0A470335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39650" y="2867026"/>
              <a:ext cx="29337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171450</xdr:rowOff>
    </xdr:from>
    <xdr:to>
      <xdr:col>2</xdr:col>
      <xdr:colOff>914400</xdr:colOff>
      <xdr:row>36</xdr:row>
      <xdr:rowOff>38099</xdr:rowOff>
    </xdr:to>
    <xdr:graphicFrame macro="">
      <xdr:nvGraphicFramePr>
        <xdr:cNvPr id="6" name="Chart 5">
          <a:extLst>
            <a:ext uri="{FF2B5EF4-FFF2-40B4-BE49-F238E27FC236}">
              <a16:creationId xmlns:a16="http://schemas.microsoft.com/office/drawing/2014/main" id="{262762AA-918A-6167-BB7F-F2D4E7961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962025</xdr:colOff>
      <xdr:row>24</xdr:row>
      <xdr:rowOff>180974</xdr:rowOff>
    </xdr:from>
    <xdr:to>
      <xdr:col>5</xdr:col>
      <xdr:colOff>866775</xdr:colOff>
      <xdr:row>36</xdr:row>
      <xdr:rowOff>23811</xdr:rowOff>
    </xdr:to>
    <xdr:graphicFrame macro="">
      <xdr:nvGraphicFramePr>
        <xdr:cNvPr id="7" name="Chart 6">
          <a:extLst>
            <a:ext uri="{FF2B5EF4-FFF2-40B4-BE49-F238E27FC236}">
              <a16:creationId xmlns:a16="http://schemas.microsoft.com/office/drawing/2014/main" id="{2A7816DA-F645-C344-E4EB-9410D7CF0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990600</xdr:colOff>
      <xdr:row>25</xdr:row>
      <xdr:rowOff>0</xdr:rowOff>
    </xdr:from>
    <xdr:to>
      <xdr:col>8</xdr:col>
      <xdr:colOff>276225</xdr:colOff>
      <xdr:row>36</xdr:row>
      <xdr:rowOff>19050</xdr:rowOff>
    </xdr:to>
    <xdr:graphicFrame macro="">
      <xdr:nvGraphicFramePr>
        <xdr:cNvPr id="8" name="Chart 7">
          <a:extLst>
            <a:ext uri="{FF2B5EF4-FFF2-40B4-BE49-F238E27FC236}">
              <a16:creationId xmlns:a16="http://schemas.microsoft.com/office/drawing/2014/main" id="{33DA6933-0BF6-3B35-C8EF-569C3ACB3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371475</xdr:colOff>
      <xdr:row>24</xdr:row>
      <xdr:rowOff>171450</xdr:rowOff>
    </xdr:from>
    <xdr:to>
      <xdr:col>11</xdr:col>
      <xdr:colOff>333375</xdr:colOff>
      <xdr:row>35</xdr:row>
      <xdr:rowOff>166687</xdr:rowOff>
    </xdr:to>
    <xdr:graphicFrame macro="">
      <xdr:nvGraphicFramePr>
        <xdr:cNvPr id="9" name="Chart 8">
          <a:extLst>
            <a:ext uri="{FF2B5EF4-FFF2-40B4-BE49-F238E27FC236}">
              <a16:creationId xmlns:a16="http://schemas.microsoft.com/office/drawing/2014/main" id="{5353CC14-863C-F7F3-4E59-75251E41C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400050</xdr:colOff>
      <xdr:row>24</xdr:row>
      <xdr:rowOff>171449</xdr:rowOff>
    </xdr:from>
    <xdr:to>
      <xdr:col>17</xdr:col>
      <xdr:colOff>123825</xdr:colOff>
      <xdr:row>35</xdr:row>
      <xdr:rowOff>166686</xdr:rowOff>
    </xdr:to>
    <xdr:graphicFrame macro="">
      <xdr:nvGraphicFramePr>
        <xdr:cNvPr id="10" name="Chart 9">
          <a:extLst>
            <a:ext uri="{FF2B5EF4-FFF2-40B4-BE49-F238E27FC236}">
              <a16:creationId xmlns:a16="http://schemas.microsoft.com/office/drawing/2014/main" id="{F3C2AF38-2FD0-A935-E4A4-1580B8DFF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7.868487037034" createdVersion="8" refreshedVersion="8" minRefreshableVersion="3" recordCount="40" xr:uid="{FAE19856-CD9C-41AE-8DFB-CF80F188E5DA}">
  <cacheSource type="worksheet">
    <worksheetSource ref="A1:J41" sheet="Sheet1"/>
  </cacheSource>
  <cacheFields count="9">
    <cacheField name="Sale ID" numFmtId="0">
      <sharedItems/>
    </cacheField>
    <cacheField name="Date" numFmtId="0">
      <sharedItems/>
    </cacheField>
    <cacheField name="Product ID" numFmtId="0">
      <sharedItems count="10">
        <s v="P001"/>
        <s v="P002"/>
        <s v="P003"/>
        <s v="P004"/>
        <s v="P005"/>
        <s v="P006"/>
        <s v="P007"/>
        <s v="P009"/>
        <s v="P010"/>
        <s v="P008"/>
      </sharedItems>
    </cacheField>
    <cacheField name="Region" numFmtId="0">
      <sharedItems count="5">
        <s v="Dhaka"/>
        <s v="Chittagong"/>
        <s v="Sylhet"/>
        <s v="Rajshahi"/>
        <s v="Khulna"/>
      </sharedItems>
    </cacheField>
    <cacheField name="Qty Sold" numFmtId="0">
      <sharedItems containsSemiMixedTypes="0" containsString="0" containsNumber="1" containsInteger="1" minValue="1" maxValue="20"/>
    </cacheField>
    <cacheField name="Product Name" numFmtId="0">
      <sharedItems count="10">
        <s v="Laptop Pro"/>
        <s v="Wireless Mouse"/>
        <s v="Office Chair"/>
        <s v="Notebook Set"/>
        <s v="USB-C Hub"/>
        <s v="Standing Desk"/>
        <s v="Webcam HD"/>
        <s v="Monitor 27&quot;"/>
        <s v="Desk Lamp LED"/>
        <s v="Pen Drive 128GB"/>
      </sharedItems>
    </cacheField>
    <cacheField name="Category" numFmtId="0">
      <sharedItems/>
    </cacheField>
    <cacheField name="Brand" numFmtId="0">
      <sharedItems/>
    </cacheField>
    <cacheField name="Total Sale (৳)" numFmtId="4">
      <sharedItems containsSemiMixedTypes="0" containsString="0" containsNumber="1" containsInteger="1" minValue="850" maxValue="770000" count="37">
        <n v="220000"/>
        <n v="1200"/>
        <n v="135000"/>
        <n v="3600"/>
        <n v="28000"/>
        <n v="140000"/>
        <n v="18000"/>
        <n v="96000"/>
        <n v="41800"/>
        <n v="770000"/>
        <n v="2400"/>
        <n v="15000"/>
        <n v="1350"/>
        <n v="24500"/>
        <n v="76500"/>
        <n v="17000"/>
        <n v="32000"/>
        <n v="39600"/>
        <n v="385000"/>
        <n v="21600"/>
        <n v="210000"/>
        <n v="52500"/>
        <n v="532000"/>
        <n v="40500"/>
        <n v="850"/>
        <n v="192000"/>
        <n v="30800"/>
        <n v="605000"/>
        <n v="10800"/>
        <n v="75000"/>
        <n v="38500"/>
        <n v="112000"/>
        <n v="13500"/>
        <n v="11050"/>
        <n v="128000"/>
        <n v="26400"/>
        <n v="660000"/>
      </sharedItems>
    </cacheField>
  </cacheFields>
  <extLst>
    <ext xmlns:x14="http://schemas.microsoft.com/office/spreadsheetml/2009/9/main" uri="{725AE2AE-9491-48be-B2B4-4EB974FC3084}">
      <x14:pivotCacheDefinition pivotCacheId="1304672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S001"/>
    <s v="2024-01-05"/>
    <x v="0"/>
    <x v="0"/>
    <n v="4"/>
    <x v="0"/>
    <s v="Electronics"/>
    <s v="TechBrand"/>
    <x v="0"/>
  </r>
  <r>
    <s v="S002"/>
    <s v="2024-01-12"/>
    <x v="1"/>
    <x v="1"/>
    <n v="1"/>
    <x v="1"/>
    <s v="Accessories"/>
    <s v="TechBrand"/>
    <x v="1"/>
  </r>
  <r>
    <s v="S003"/>
    <s v="2024-01-20"/>
    <x v="2"/>
    <x v="2"/>
    <n v="9"/>
    <x v="2"/>
    <s v="Furniture"/>
    <s v="ComfortZone"/>
    <x v="2"/>
  </r>
  <r>
    <s v="S004"/>
    <s v="01/25/2024"/>
    <x v="3"/>
    <x v="3"/>
    <n v="8"/>
    <x v="3"/>
    <s v="Stationery"/>
    <s v="WriteRight"/>
    <x v="3"/>
  </r>
  <r>
    <s v="S005"/>
    <s v="2024-02-03"/>
    <x v="4"/>
    <x v="4"/>
    <n v="8"/>
    <x v="4"/>
    <s v="Accessories"/>
    <s v="TechBrand"/>
    <x v="4"/>
  </r>
  <r>
    <s v="S006"/>
    <s v="2024-02-10"/>
    <x v="5"/>
    <x v="0"/>
    <n v="5"/>
    <x v="5"/>
    <s v="Furniture"/>
    <s v="ComfortZone"/>
    <x v="5"/>
  </r>
  <r>
    <s v="S006"/>
    <s v="2024-02-10"/>
    <x v="5"/>
    <x v="0"/>
    <n v="5"/>
    <x v="5"/>
    <s v="Furniture"/>
    <s v="ComfortZone"/>
    <x v="5"/>
  </r>
  <r>
    <s v="S007"/>
    <s v="2024-02-18"/>
    <x v="6"/>
    <x v="1"/>
    <n v="4"/>
    <x v="6"/>
    <s v="Electronics"/>
    <s v="TechBrand"/>
    <x v="6"/>
  </r>
  <r>
    <s v="S009"/>
    <s v="2024-03-01"/>
    <x v="7"/>
    <x v="3"/>
    <n v="3"/>
    <x v="7"/>
    <s v="Electronics"/>
    <s v="TechBrand"/>
    <x v="7"/>
  </r>
  <r>
    <s v="S010"/>
    <s v="2024-03-08"/>
    <x v="8"/>
    <x v="4"/>
    <n v="19"/>
    <x v="8"/>
    <s v="Furniture"/>
    <s v="ComfortZone"/>
    <x v="8"/>
  </r>
  <r>
    <s v="S011"/>
    <s v="2024-03-15"/>
    <x v="0"/>
    <x v="0"/>
    <n v="14"/>
    <x v="0"/>
    <s v="Electronics"/>
    <s v="TechBrand"/>
    <x v="9"/>
  </r>
  <r>
    <s v="S012"/>
    <s v="2024-03-22"/>
    <x v="1"/>
    <x v="1"/>
    <n v="2"/>
    <x v="1"/>
    <s v="Accessories"/>
    <s v="TechBrand"/>
    <x v="10"/>
  </r>
  <r>
    <s v="S013"/>
    <s v="03-28-2024"/>
    <x v="2"/>
    <x v="2"/>
    <n v="1"/>
    <x v="2"/>
    <s v="Furniture"/>
    <s v="ComfortZone"/>
    <x v="11"/>
  </r>
  <r>
    <s v="S014"/>
    <s v="2024-04-02"/>
    <x v="3"/>
    <x v="3"/>
    <n v="3"/>
    <x v="3"/>
    <s v="Stationery"/>
    <s v="WriteRight"/>
    <x v="12"/>
  </r>
  <r>
    <s v="S015"/>
    <s v="2024-04-10"/>
    <x v="4"/>
    <x v="4"/>
    <n v="7"/>
    <x v="4"/>
    <s v="Accessories"/>
    <s v="TechBrand"/>
    <x v="13"/>
  </r>
  <r>
    <s v="S017"/>
    <s v="2024-04-25"/>
    <x v="6"/>
    <x v="1"/>
    <n v="17"/>
    <x v="6"/>
    <s v="Electronics"/>
    <s v="TechBrand"/>
    <x v="14"/>
  </r>
  <r>
    <s v="S018"/>
    <s v="2024-05-05"/>
    <x v="9"/>
    <x v="2"/>
    <n v="20"/>
    <x v="9"/>
    <s v="Accessories"/>
    <s v="StorePro"/>
    <x v="15"/>
  </r>
  <r>
    <s v="S019"/>
    <s v="2024-05-12"/>
    <x v="7"/>
    <x v="3"/>
    <n v="1"/>
    <x v="7"/>
    <s v="Electronics"/>
    <s v="TechBrand"/>
    <x v="16"/>
  </r>
  <r>
    <s v="S020"/>
    <s v="2024-05-20"/>
    <x v="8"/>
    <x v="4"/>
    <n v="18"/>
    <x v="8"/>
    <s v="Furniture"/>
    <s v="ComfortZone"/>
    <x v="17"/>
  </r>
  <r>
    <s v="S021"/>
    <s v="2024-05-28"/>
    <x v="0"/>
    <x v="0"/>
    <n v="7"/>
    <x v="0"/>
    <s v="Electronics"/>
    <s v="TechBrand"/>
    <x v="18"/>
  </r>
  <r>
    <s v="S021"/>
    <s v="2024-05-28"/>
    <x v="0"/>
    <x v="0"/>
    <n v="7"/>
    <x v="0"/>
    <s v="Electronics"/>
    <s v="TechBrand"/>
    <x v="18"/>
  </r>
  <r>
    <s v="S022"/>
    <s v="2024-06-03"/>
    <x v="1"/>
    <x v="1"/>
    <n v="18"/>
    <x v="1"/>
    <s v="Accessories"/>
    <s v="TechBrand"/>
    <x v="19"/>
  </r>
  <r>
    <s v="S023"/>
    <s v="2024-06-10"/>
    <x v="2"/>
    <x v="2"/>
    <n v="14"/>
    <x v="2"/>
    <s v="Furniture"/>
    <s v="ComfortZone"/>
    <x v="20"/>
  </r>
  <r>
    <s v="S025"/>
    <s v="2024-06-25"/>
    <x v="4"/>
    <x v="4"/>
    <n v="15"/>
    <x v="4"/>
    <s v="Accessories"/>
    <s v="TechBrand"/>
    <x v="21"/>
  </r>
  <r>
    <s v="S026"/>
    <s v="2024-07-02"/>
    <x v="5"/>
    <x v="0"/>
    <n v="19"/>
    <x v="5"/>
    <s v="Furniture"/>
    <s v="ComfortZone"/>
    <x v="22"/>
  </r>
  <r>
    <s v="S027"/>
    <s v="2024-07-10"/>
    <x v="6"/>
    <x v="1"/>
    <n v="9"/>
    <x v="6"/>
    <s v="Electronics"/>
    <s v="TechBrand"/>
    <x v="23"/>
  </r>
  <r>
    <s v="S028"/>
    <s v="2024-07-18"/>
    <x v="9"/>
    <x v="2"/>
    <n v="1"/>
    <x v="9"/>
    <s v="Accessories"/>
    <s v="StorePro"/>
    <x v="24"/>
  </r>
  <r>
    <s v="S029"/>
    <s v="2024-07-25"/>
    <x v="7"/>
    <x v="3"/>
    <n v="6"/>
    <x v="7"/>
    <s v="Electronics"/>
    <s v="TechBrand"/>
    <x v="25"/>
  </r>
  <r>
    <s v="S030"/>
    <s v="2024-08-01"/>
    <x v="8"/>
    <x v="4"/>
    <n v="14"/>
    <x v="8"/>
    <s v="Furniture"/>
    <s v="ComfortZone"/>
    <x v="26"/>
  </r>
  <r>
    <s v="S031"/>
    <s v="2024-08-10"/>
    <x v="0"/>
    <x v="0"/>
    <n v="11"/>
    <x v="0"/>
    <s v="Electronics"/>
    <s v="TechBrand"/>
    <x v="27"/>
  </r>
  <r>
    <s v="S032"/>
    <s v="2024-08-18"/>
    <x v="1"/>
    <x v="1"/>
    <n v="9"/>
    <x v="1"/>
    <s v="Accessories"/>
    <s v="TechBrand"/>
    <x v="28"/>
  </r>
  <r>
    <s v="S033"/>
    <s v="2024-08-25"/>
    <x v="2"/>
    <x v="2"/>
    <n v="5"/>
    <x v="2"/>
    <s v="Furniture"/>
    <s v="ComfortZone"/>
    <x v="29"/>
  </r>
  <r>
    <s v="S035"/>
    <s v="2024-09-12"/>
    <x v="4"/>
    <x v="4"/>
    <n v="11"/>
    <x v="4"/>
    <s v="Accessories"/>
    <s v="TechBrand"/>
    <x v="30"/>
  </r>
  <r>
    <s v="S036"/>
    <s v="2024-09-20"/>
    <x v="5"/>
    <x v="0"/>
    <n v="4"/>
    <x v="5"/>
    <s v="Furniture"/>
    <s v="ComfortZone"/>
    <x v="31"/>
  </r>
  <r>
    <s v="S036"/>
    <s v="2024-09-20"/>
    <x v="5"/>
    <x v="0"/>
    <n v="4"/>
    <x v="5"/>
    <s v="Furniture"/>
    <s v="ComfortZone"/>
    <x v="31"/>
  </r>
  <r>
    <s v="S037"/>
    <s v="2024-09-28"/>
    <x v="6"/>
    <x v="1"/>
    <n v="3"/>
    <x v="6"/>
    <s v="Electronics"/>
    <s v="TechBrand"/>
    <x v="32"/>
  </r>
  <r>
    <s v="S038"/>
    <s v="2024-10-05"/>
    <x v="9"/>
    <x v="2"/>
    <n v="13"/>
    <x v="9"/>
    <s v="Accessories"/>
    <s v="StorePro"/>
    <x v="33"/>
  </r>
  <r>
    <s v="S039"/>
    <s v="2024-10-15"/>
    <x v="7"/>
    <x v="3"/>
    <n v="4"/>
    <x v="7"/>
    <s v="Electronics"/>
    <s v="TechBrand"/>
    <x v="34"/>
  </r>
  <r>
    <s v="S040"/>
    <s v="2024-10-22"/>
    <x v="8"/>
    <x v="4"/>
    <n v="12"/>
    <x v="8"/>
    <s v="Furniture"/>
    <s v="ComfortZone"/>
    <x v="35"/>
  </r>
  <r>
    <s v="S041"/>
    <s v="2024-11-01"/>
    <x v="0"/>
    <x v="0"/>
    <n v="12"/>
    <x v="0"/>
    <s v="Electronics"/>
    <s v="TechBrand"/>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CF3BE-A1E0-41A5-8049-110267BC9F93}" name="region_qt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D18:E24" firstHeaderRow="1" firstDataRow="1" firstDataCol="1"/>
  <pivotFields count="9">
    <pivotField compact="0" outline="0" showAll="0"/>
    <pivotField compact="0" outline="0" showAll="0"/>
    <pivotField compact="0" outline="0" showAll="0">
      <items count="11">
        <item x="0"/>
        <item x="1"/>
        <item x="2"/>
        <item x="3"/>
        <item x="4"/>
        <item x="5"/>
        <item x="6"/>
        <item x="9"/>
        <item x="7"/>
        <item x="8"/>
        <item t="default"/>
      </items>
    </pivotField>
    <pivotField axis="axisRow" compact="0" outline="0" showAll="0">
      <items count="6">
        <item x="1"/>
        <item x="0"/>
        <item x="4"/>
        <item x="3"/>
        <item x="2"/>
        <item t="default"/>
      </items>
    </pivotField>
    <pivotField dataField="1" compact="0" outline="0" showAll="0"/>
    <pivotField compact="0" outline="0" showAll="0"/>
    <pivotField compact="0" outline="0" showAll="0"/>
    <pivotField compact="0" outline="0" showAll="0"/>
    <pivotField compact="0" numFmtId="4" outline="0" showAll="0"/>
  </pivotFields>
  <rowFields count="1">
    <field x="3"/>
  </rowFields>
  <rowItems count="6">
    <i>
      <x/>
    </i>
    <i>
      <x v="1"/>
    </i>
    <i>
      <x v="2"/>
    </i>
    <i>
      <x v="3"/>
    </i>
    <i>
      <x v="4"/>
    </i>
    <i t="grand">
      <x/>
    </i>
  </rowItems>
  <colItems count="1">
    <i/>
  </colItems>
  <dataFields count="1">
    <dataField name="Sum of Qty Sold"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5B3859-C161-47B0-A661-2BB70FB464CD}" name="region_sal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18:B24" firstHeaderRow="1" firstDataRow="1" firstDataCol="1"/>
  <pivotFields count="9">
    <pivotField compact="0" outline="0" showAll="0"/>
    <pivotField compact="0" outline="0" showAll="0"/>
    <pivotField compact="0" outline="0" showAll="0">
      <items count="11">
        <item x="0"/>
        <item x="1"/>
        <item x="2"/>
        <item x="3"/>
        <item x="4"/>
        <item x="5"/>
        <item x="6"/>
        <item x="9"/>
        <item x="7"/>
        <item x="8"/>
        <item t="default"/>
      </items>
    </pivotField>
    <pivotField axis="axisRow" compact="0" outline="0" showAll="0">
      <items count="6">
        <item x="1"/>
        <item x="0"/>
        <item x="4"/>
        <item x="3"/>
        <item x="2"/>
        <item t="default"/>
      </items>
    </pivotField>
    <pivotField compact="0" outline="0" showAll="0"/>
    <pivotField compact="0" outline="0" showAll="0"/>
    <pivotField compact="0" outline="0" showAll="0"/>
    <pivotField compact="0" outline="0" showAll="0"/>
    <pivotField dataField="1" compact="0" numFmtId="4" outline="0" showAll="0"/>
  </pivotFields>
  <rowFields count="1">
    <field x="3"/>
  </rowFields>
  <rowItems count="6">
    <i>
      <x/>
    </i>
    <i>
      <x v="1"/>
    </i>
    <i>
      <x v="2"/>
    </i>
    <i>
      <x v="3"/>
    </i>
    <i>
      <x v="4"/>
    </i>
    <i t="grand">
      <x/>
    </i>
  </rowItems>
  <colItems count="1">
    <i/>
  </colItems>
  <dataFields count="1">
    <dataField name="Sum of Total Sale (৳)" fld="8" baseField="0" baseItem="0" numFmtId="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C108EB-8730-4573-BD4A-AF20CE2750E9}" name="name_qt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K14" firstHeaderRow="1" firstDataRow="1" firstDataCol="1"/>
  <pivotFields count="9">
    <pivotField compact="0" outline="0" showAll="0"/>
    <pivotField compact="0" outline="0" showAll="0"/>
    <pivotField compact="0" outline="0" showAll="0">
      <items count="11">
        <item x="0"/>
        <item x="1"/>
        <item x="2"/>
        <item x="3"/>
        <item x="4"/>
        <item x="5"/>
        <item x="6"/>
        <item x="9"/>
        <item x="7"/>
        <item x="8"/>
        <item t="default"/>
      </items>
    </pivotField>
    <pivotField compact="0" outline="0" showAll="0">
      <items count="6">
        <item x="1"/>
        <item x="0"/>
        <item x="4"/>
        <item x="3"/>
        <item x="2"/>
        <item t="default"/>
      </items>
    </pivotField>
    <pivotField dataField="1" compact="0" outline="0" showAll="0"/>
    <pivotField axis="axisRow" compact="0" outline="0" showAll="0">
      <items count="11">
        <item x="8"/>
        <item x="0"/>
        <item x="7"/>
        <item x="3"/>
        <item x="2"/>
        <item x="9"/>
        <item x="5"/>
        <item x="4"/>
        <item x="6"/>
        <item x="1"/>
        <item t="default"/>
      </items>
    </pivotField>
    <pivotField compact="0" outline="0" showAll="0"/>
    <pivotField compact="0" outline="0" showAll="0"/>
    <pivotField compact="0" numFmtId="4" outline="0" showAll="0"/>
  </pivotFields>
  <rowFields count="1">
    <field x="5"/>
  </rowFields>
  <rowItems count="11">
    <i>
      <x/>
    </i>
    <i>
      <x v="1"/>
    </i>
    <i>
      <x v="2"/>
    </i>
    <i>
      <x v="3"/>
    </i>
    <i>
      <x v="4"/>
    </i>
    <i>
      <x v="5"/>
    </i>
    <i>
      <x v="6"/>
    </i>
    <i>
      <x v="7"/>
    </i>
    <i>
      <x v="8"/>
    </i>
    <i>
      <x v="9"/>
    </i>
    <i t="grand">
      <x/>
    </i>
  </rowItems>
  <colItems count="1">
    <i/>
  </colItems>
  <dataFields count="1">
    <dataField name="Sum of Qty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C80480-3D23-4D25-9447-2B62A66AB3C8}" name="name_sal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G3:H14" firstHeaderRow="1" firstDataRow="1" firstDataCol="1"/>
  <pivotFields count="9">
    <pivotField compact="0" outline="0" showAll="0"/>
    <pivotField compact="0" outline="0" showAll="0"/>
    <pivotField compact="0" outline="0" showAll="0">
      <items count="11">
        <item x="0"/>
        <item x="1"/>
        <item x="2"/>
        <item x="3"/>
        <item x="4"/>
        <item x="5"/>
        <item x="6"/>
        <item x="9"/>
        <item x="7"/>
        <item x="8"/>
        <item t="default"/>
      </items>
    </pivotField>
    <pivotField compact="0" outline="0" showAll="0"/>
    <pivotField compact="0" outline="0" showAll="0"/>
    <pivotField axis="axisRow" compact="0" outline="0" showAll="0">
      <items count="11">
        <item x="8"/>
        <item x="0"/>
        <item x="7"/>
        <item x="3"/>
        <item x="2"/>
        <item x="9"/>
        <item x="5"/>
        <item x="4"/>
        <item x="6"/>
        <item x="1"/>
        <item t="default"/>
      </items>
    </pivotField>
    <pivotField compact="0" outline="0" showAll="0"/>
    <pivotField compact="0" outline="0" showAll="0"/>
    <pivotField dataField="1" compact="0" numFmtId="4" outline="0" showAll="0"/>
  </pivotFields>
  <rowFields count="1">
    <field x="5"/>
  </rowFields>
  <rowItems count="11">
    <i>
      <x/>
    </i>
    <i>
      <x v="1"/>
    </i>
    <i>
      <x v="2"/>
    </i>
    <i>
      <x v="3"/>
    </i>
    <i>
      <x v="4"/>
    </i>
    <i>
      <x v="5"/>
    </i>
    <i>
      <x v="6"/>
    </i>
    <i>
      <x v="7"/>
    </i>
    <i>
      <x v="8"/>
    </i>
    <i>
      <x v="9"/>
    </i>
    <i t="grand">
      <x/>
    </i>
  </rowItems>
  <colItems count="1">
    <i/>
  </colItems>
  <dataFields count="1">
    <dataField name="Sum of Total Sale (৳)" fld="8"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F8C55E-359F-46C6-838E-88D6FB33ADFD}" name="id_qt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D3:E14" firstHeaderRow="1" firstDataRow="1" firstDataCol="1"/>
  <pivotFields count="9">
    <pivotField compact="0" outline="0" showAll="0"/>
    <pivotField compact="0" outline="0" showAll="0"/>
    <pivotField axis="axisRow" compact="0" outline="0" showAll="0">
      <items count="11">
        <item x="0"/>
        <item x="1"/>
        <item x="2"/>
        <item x="3"/>
        <item x="4"/>
        <item x="5"/>
        <item x="6"/>
        <item x="9"/>
        <item x="7"/>
        <item x="8"/>
        <item t="default"/>
      </items>
    </pivotField>
    <pivotField compact="0" outline="0" showAll="0"/>
    <pivotField dataField="1" compact="0" outline="0" showAll="0"/>
    <pivotField compact="0" outline="0" showAll="0"/>
    <pivotField compact="0" outline="0" showAll="0"/>
    <pivotField compact="0" outline="0" showAll="0"/>
    <pivotField compact="0" numFmtId="4" outline="0" showAll="0"/>
  </pivotFields>
  <rowFields count="1">
    <field x="2"/>
  </rowFields>
  <rowItems count="11">
    <i>
      <x/>
    </i>
    <i>
      <x v="1"/>
    </i>
    <i>
      <x v="2"/>
    </i>
    <i>
      <x v="3"/>
    </i>
    <i>
      <x v="4"/>
    </i>
    <i>
      <x v="5"/>
    </i>
    <i>
      <x v="6"/>
    </i>
    <i>
      <x v="7"/>
    </i>
    <i>
      <x v="8"/>
    </i>
    <i>
      <x v="9"/>
    </i>
    <i t="grand">
      <x/>
    </i>
  </rowItems>
  <colItems count="1">
    <i/>
  </colItems>
  <dataFields count="1">
    <dataField name="Sum of Qty Sold"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5263F8-D853-45E0-80E4-4DA692FAF1B0}" name="id_sal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14" firstHeaderRow="1" firstDataRow="1" firstDataCol="1"/>
  <pivotFields count="9">
    <pivotField compact="0" outline="0" showAll="0"/>
    <pivotField compact="0" outline="0" showAll="0"/>
    <pivotField axis="axisRow" compact="0" outline="0" showAll="0">
      <items count="11">
        <item x="0"/>
        <item x="1"/>
        <item x="2"/>
        <item x="3"/>
        <item x="4"/>
        <item x="5"/>
        <item x="6"/>
        <item x="9"/>
        <item x="7"/>
        <item x="8"/>
        <item t="default"/>
      </items>
    </pivotField>
    <pivotField compact="0" outline="0" showAll="0"/>
    <pivotField compact="0" outline="0" showAll="0"/>
    <pivotField compact="0" outline="0" showAll="0"/>
    <pivotField compact="0" outline="0" showAll="0"/>
    <pivotField compact="0" outline="0" showAll="0"/>
    <pivotField dataField="1" compact="0" numFmtId="4" outline="0" showAll="0">
      <items count="38">
        <item x="24"/>
        <item x="1"/>
        <item x="12"/>
        <item x="10"/>
        <item x="3"/>
        <item x="28"/>
        <item x="33"/>
        <item x="32"/>
        <item x="11"/>
        <item x="15"/>
        <item x="6"/>
        <item x="19"/>
        <item x="13"/>
        <item x="35"/>
        <item x="4"/>
        <item x="26"/>
        <item x="16"/>
        <item x="30"/>
        <item x="17"/>
        <item x="23"/>
        <item x="8"/>
        <item x="21"/>
        <item x="29"/>
        <item x="14"/>
        <item x="7"/>
        <item x="31"/>
        <item x="34"/>
        <item x="2"/>
        <item x="5"/>
        <item x="25"/>
        <item x="20"/>
        <item x="0"/>
        <item x="18"/>
        <item x="22"/>
        <item x="27"/>
        <item x="36"/>
        <item x="9"/>
        <item t="default"/>
      </items>
    </pivotField>
  </pivotFields>
  <rowFields count="1">
    <field x="2"/>
  </rowFields>
  <rowItems count="11">
    <i>
      <x/>
    </i>
    <i>
      <x v="1"/>
    </i>
    <i>
      <x v="2"/>
    </i>
    <i>
      <x v="3"/>
    </i>
    <i>
      <x v="4"/>
    </i>
    <i>
      <x v="5"/>
    </i>
    <i>
      <x v="6"/>
    </i>
    <i>
      <x v="7"/>
    </i>
    <i>
      <x v="8"/>
    </i>
    <i>
      <x v="9"/>
    </i>
    <i t="grand">
      <x/>
    </i>
  </rowItems>
  <colItems count="1">
    <i/>
  </colItems>
  <dataFields count="1">
    <dataField name="Sum of Total Sale (৳)" fld="8"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5DA45907-0551-4416-9FFE-8AB0C7D846BD}" sourceName="Product ID">
  <pivotTables>
    <pivotTable tabId="4" name="id_sale"/>
    <pivotTable tabId="4" name="id_qty"/>
  </pivotTables>
  <data>
    <tabular pivotCacheId="1304672770">
      <items count="10">
        <i x="0" s="1"/>
        <i x="1" s="1"/>
        <i x="2" s="1"/>
        <i x="3" s="1"/>
        <i x="4" s="1"/>
        <i x="5" s="1"/>
        <i x="6" s="1"/>
        <i x="9"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8EAD233-5676-44DB-A036-C06A2B597D6F}" sourceName="Product Name">
  <pivotTables>
    <pivotTable tabId="4" name="name_sale"/>
    <pivotTable tabId="4" name="name_qty"/>
  </pivotTables>
  <data>
    <tabular pivotCacheId="1304672770">
      <items count="10">
        <i x="8" s="1"/>
        <i x="0" s="1"/>
        <i x="7" s="1"/>
        <i x="3" s="1"/>
        <i x="2" s="1"/>
        <i x="9" s="1"/>
        <i x="5" s="1"/>
        <i x="4"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636262-451C-4036-B52F-E7A386BB2DAD}" sourceName="Region">
  <pivotTables>
    <pivotTable tabId="4" name="region_sale"/>
    <pivotTable tabId="4" name="region_qty"/>
  </pivotTables>
  <data>
    <tabular pivotCacheId="1304672770">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xr10:uid="{FFEC0B89-4E21-4B70-944C-65CCCB600104}" cache="Slicer_Product_ID" caption="Product ID" columnCount="3" rowHeight="241300"/>
  <slicer name="Product Name" xr10:uid="{742D57AE-328F-44E9-9BE0-F292317529D4}" cache="Slicer_Product_Name" caption="Product Name" columnCount="3" rowHeight="241300"/>
  <slicer name="Region" xr10:uid="{70968557-A55A-4F2B-AD75-D1FCEB42E3BD}" cache="Slicer_Region" caption="Region" columnCount="3"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4062B-0A82-4EF5-9BE6-E30C64464EF9}">
  <dimension ref="A3:K24"/>
  <sheetViews>
    <sheetView topLeftCell="E1" workbookViewId="0">
      <selection activeCell="Q8" sqref="Q8"/>
    </sheetView>
  </sheetViews>
  <sheetFormatPr defaultRowHeight="15" x14ac:dyDescent="0.25"/>
  <cols>
    <col min="1" max="1" width="12.42578125" bestFit="1" customWidth="1"/>
    <col min="2" max="3" width="20" bestFit="1" customWidth="1"/>
    <col min="4" max="4" width="12.42578125" bestFit="1" customWidth="1"/>
    <col min="5" max="6" width="15.140625" bestFit="1" customWidth="1"/>
    <col min="7" max="7" width="16" bestFit="1" customWidth="1"/>
    <col min="8" max="9" width="20" bestFit="1" customWidth="1"/>
    <col min="10" max="10" width="16" bestFit="1" customWidth="1"/>
    <col min="11" max="12" width="15.140625" bestFit="1" customWidth="1"/>
  </cols>
  <sheetData>
    <row r="3" spans="1:11" x14ac:dyDescent="0.25">
      <c r="A3" s="9" t="s">
        <v>2</v>
      </c>
      <c r="B3" t="s">
        <v>118</v>
      </c>
      <c r="D3" s="9" t="s">
        <v>2</v>
      </c>
      <c r="E3" t="s">
        <v>119</v>
      </c>
      <c r="G3" s="9" t="s">
        <v>95</v>
      </c>
      <c r="H3" t="s">
        <v>118</v>
      </c>
      <c r="J3" s="9" t="s">
        <v>95</v>
      </c>
      <c r="K3" t="s">
        <v>119</v>
      </c>
    </row>
    <row r="4" spans="1:11" x14ac:dyDescent="0.25">
      <c r="A4" t="s">
        <v>8</v>
      </c>
      <c r="B4" s="10">
        <v>3025000</v>
      </c>
      <c r="D4" t="s">
        <v>8</v>
      </c>
      <c r="E4" s="11">
        <v>55</v>
      </c>
      <c r="G4" t="s">
        <v>116</v>
      </c>
      <c r="H4" s="10">
        <v>138600</v>
      </c>
      <c r="J4" t="s">
        <v>116</v>
      </c>
      <c r="K4" s="11">
        <v>63</v>
      </c>
    </row>
    <row r="5" spans="1:11" x14ac:dyDescent="0.25">
      <c r="A5" t="s">
        <v>12</v>
      </c>
      <c r="B5" s="10">
        <v>36000</v>
      </c>
      <c r="D5" t="s">
        <v>12</v>
      </c>
      <c r="E5" s="11">
        <v>30</v>
      </c>
      <c r="G5" t="s">
        <v>99</v>
      </c>
      <c r="H5" s="10">
        <v>3025000</v>
      </c>
      <c r="J5" t="s">
        <v>99</v>
      </c>
      <c r="K5" s="11">
        <v>55</v>
      </c>
    </row>
    <row r="6" spans="1:11" x14ac:dyDescent="0.25">
      <c r="A6" t="s">
        <v>16</v>
      </c>
      <c r="B6" s="10">
        <v>435000</v>
      </c>
      <c r="D6" t="s">
        <v>16</v>
      </c>
      <c r="E6" s="11">
        <v>29</v>
      </c>
      <c r="G6" t="s">
        <v>115</v>
      </c>
      <c r="H6" s="10">
        <v>448000</v>
      </c>
      <c r="J6" t="s">
        <v>115</v>
      </c>
      <c r="K6" s="11">
        <v>14</v>
      </c>
    </row>
    <row r="7" spans="1:11" x14ac:dyDescent="0.25">
      <c r="A7" t="s">
        <v>20</v>
      </c>
      <c r="B7" s="10">
        <v>4950</v>
      </c>
      <c r="D7" t="s">
        <v>20</v>
      </c>
      <c r="E7" s="11">
        <v>11</v>
      </c>
      <c r="G7" t="s">
        <v>107</v>
      </c>
      <c r="H7" s="10">
        <v>4950</v>
      </c>
      <c r="J7" t="s">
        <v>107</v>
      </c>
      <c r="K7" s="11">
        <v>11</v>
      </c>
    </row>
    <row r="8" spans="1:11" x14ac:dyDescent="0.25">
      <c r="A8" t="s">
        <v>24</v>
      </c>
      <c r="B8" s="10">
        <v>143500</v>
      </c>
      <c r="D8" t="s">
        <v>24</v>
      </c>
      <c r="E8" s="11">
        <v>41</v>
      </c>
      <c r="G8" t="s">
        <v>104</v>
      </c>
      <c r="H8" s="10">
        <v>435000</v>
      </c>
      <c r="J8" t="s">
        <v>104</v>
      </c>
      <c r="K8" s="11">
        <v>29</v>
      </c>
    </row>
    <row r="9" spans="1:11" x14ac:dyDescent="0.25">
      <c r="A9" t="s">
        <v>28</v>
      </c>
      <c r="B9" s="10">
        <v>1036000</v>
      </c>
      <c r="D9" t="s">
        <v>28</v>
      </c>
      <c r="E9" s="11">
        <v>37</v>
      </c>
      <c r="G9" t="s">
        <v>113</v>
      </c>
      <c r="H9" s="10">
        <v>28900</v>
      </c>
      <c r="J9" t="s">
        <v>113</v>
      </c>
      <c r="K9" s="11">
        <v>34</v>
      </c>
    </row>
    <row r="10" spans="1:11" x14ac:dyDescent="0.25">
      <c r="A10" t="s">
        <v>31</v>
      </c>
      <c r="B10" s="10">
        <v>148500</v>
      </c>
      <c r="D10" t="s">
        <v>31</v>
      </c>
      <c r="E10" s="11">
        <v>33</v>
      </c>
      <c r="G10" t="s">
        <v>111</v>
      </c>
      <c r="H10" s="10">
        <v>1036000</v>
      </c>
      <c r="J10" t="s">
        <v>111</v>
      </c>
      <c r="K10" s="11">
        <v>37</v>
      </c>
    </row>
    <row r="11" spans="1:11" x14ac:dyDescent="0.25">
      <c r="A11" t="s">
        <v>52</v>
      </c>
      <c r="B11" s="10">
        <v>28900</v>
      </c>
      <c r="D11" t="s">
        <v>52</v>
      </c>
      <c r="E11" s="11">
        <v>34</v>
      </c>
      <c r="G11" t="s">
        <v>110</v>
      </c>
      <c r="H11" s="10">
        <v>143500</v>
      </c>
      <c r="J11" t="s">
        <v>110</v>
      </c>
      <c r="K11" s="11">
        <v>41</v>
      </c>
    </row>
    <row r="12" spans="1:11" x14ac:dyDescent="0.25">
      <c r="A12" t="s">
        <v>34</v>
      </c>
      <c r="B12" s="10">
        <v>448000</v>
      </c>
      <c r="D12" t="s">
        <v>34</v>
      </c>
      <c r="E12" s="11">
        <v>14</v>
      </c>
      <c r="G12" t="s">
        <v>112</v>
      </c>
      <c r="H12" s="10">
        <v>148500</v>
      </c>
      <c r="J12" t="s">
        <v>112</v>
      </c>
      <c r="K12" s="11">
        <v>33</v>
      </c>
    </row>
    <row r="13" spans="1:11" x14ac:dyDescent="0.25">
      <c r="A13" t="s">
        <v>37</v>
      </c>
      <c r="B13" s="10">
        <v>138600</v>
      </c>
      <c r="D13" t="s">
        <v>37</v>
      </c>
      <c r="E13" s="11">
        <v>63</v>
      </c>
      <c r="G13" t="s">
        <v>102</v>
      </c>
      <c r="H13" s="10">
        <v>36000</v>
      </c>
      <c r="J13" t="s">
        <v>102</v>
      </c>
      <c r="K13" s="11">
        <v>30</v>
      </c>
    </row>
    <row r="14" spans="1:11" x14ac:dyDescent="0.25">
      <c r="A14" t="s">
        <v>117</v>
      </c>
      <c r="B14" s="10">
        <v>5444450</v>
      </c>
      <c r="D14" t="s">
        <v>117</v>
      </c>
      <c r="E14" s="11">
        <v>347</v>
      </c>
      <c r="G14" t="s">
        <v>117</v>
      </c>
      <c r="H14" s="10">
        <v>5444450</v>
      </c>
      <c r="J14" t="s">
        <v>117</v>
      </c>
      <c r="K14" s="11">
        <v>347</v>
      </c>
    </row>
    <row r="18" spans="1:5" x14ac:dyDescent="0.25">
      <c r="A18" s="9" t="s">
        <v>3</v>
      </c>
      <c r="B18" t="s">
        <v>118</v>
      </c>
      <c r="D18" s="9" t="s">
        <v>3</v>
      </c>
      <c r="E18" t="s">
        <v>119</v>
      </c>
    </row>
    <row r="19" spans="1:5" x14ac:dyDescent="0.25">
      <c r="A19" t="s">
        <v>13</v>
      </c>
      <c r="B19" s="10">
        <v>184500</v>
      </c>
      <c r="D19" t="s">
        <v>13</v>
      </c>
      <c r="E19" s="11">
        <v>63</v>
      </c>
    </row>
    <row r="20" spans="1:5" x14ac:dyDescent="0.25">
      <c r="A20" t="s">
        <v>9</v>
      </c>
      <c r="B20" s="10">
        <v>4061000</v>
      </c>
      <c r="D20" t="s">
        <v>9</v>
      </c>
      <c r="E20" s="11">
        <v>92</v>
      </c>
    </row>
    <row r="21" spans="1:5" x14ac:dyDescent="0.25">
      <c r="A21" t="s">
        <v>25</v>
      </c>
      <c r="B21" s="10">
        <v>282100</v>
      </c>
      <c r="D21" t="s">
        <v>25</v>
      </c>
      <c r="E21" s="11">
        <v>104</v>
      </c>
    </row>
    <row r="22" spans="1:5" x14ac:dyDescent="0.25">
      <c r="A22" t="s">
        <v>21</v>
      </c>
      <c r="B22" s="10">
        <v>452950</v>
      </c>
      <c r="D22" t="s">
        <v>21</v>
      </c>
      <c r="E22" s="11">
        <v>25</v>
      </c>
    </row>
    <row r="23" spans="1:5" x14ac:dyDescent="0.25">
      <c r="A23" t="s">
        <v>17</v>
      </c>
      <c r="B23" s="10">
        <v>463900</v>
      </c>
      <c r="D23" t="s">
        <v>17</v>
      </c>
      <c r="E23" s="11">
        <v>63</v>
      </c>
    </row>
    <row r="24" spans="1:5" x14ac:dyDescent="0.25">
      <c r="A24" t="s">
        <v>117</v>
      </c>
      <c r="B24" s="10">
        <v>5444450</v>
      </c>
      <c r="D24" t="s">
        <v>117</v>
      </c>
      <c r="E24" s="11">
        <v>347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6D6B-3251-4137-B8E6-BE59693B786A}">
  <dimension ref="A1:J41"/>
  <sheetViews>
    <sheetView tabSelected="1" workbookViewId="0">
      <selection activeCell="C7" sqref="C7"/>
    </sheetView>
  </sheetViews>
  <sheetFormatPr defaultRowHeight="15" x14ac:dyDescent="0.25"/>
  <cols>
    <col min="1" max="10" width="20.7109375" customWidth="1"/>
  </cols>
  <sheetData>
    <row r="1" spans="1:10" ht="18" customHeight="1" x14ac:dyDescent="0.25">
      <c r="A1" s="1" t="s">
        <v>0</v>
      </c>
      <c r="B1" s="1" t="s">
        <v>1</v>
      </c>
      <c r="C1" s="1" t="s">
        <v>120</v>
      </c>
      <c r="D1" s="1" t="s">
        <v>2</v>
      </c>
      <c r="E1" s="1" t="s">
        <v>3</v>
      </c>
      <c r="F1" s="1" t="s">
        <v>4</v>
      </c>
      <c r="G1" s="1" t="s">
        <v>95</v>
      </c>
      <c r="H1" s="1" t="s">
        <v>96</v>
      </c>
      <c r="I1" s="1" t="s">
        <v>97</v>
      </c>
      <c r="J1" s="1" t="s">
        <v>5</v>
      </c>
    </row>
    <row r="2" spans="1:10" ht="18" customHeight="1" x14ac:dyDescent="0.25">
      <c r="A2" s="2" t="s">
        <v>6</v>
      </c>
      <c r="B2" s="2" t="s">
        <v>7</v>
      </c>
      <c r="C2" s="2" t="str">
        <f>TEXT(B2,"mmm")</f>
        <v>Jan</v>
      </c>
      <c r="D2" s="2" t="s">
        <v>8</v>
      </c>
      <c r="E2" s="2" t="s">
        <v>9</v>
      </c>
      <c r="F2" s="2">
        <v>4</v>
      </c>
      <c r="G2" s="2" t="str">
        <f>_xlfn.XLOOKUP(D2,Sheet3!$A$2:$A$11,Sheet3!$B$2:$B$11)</f>
        <v>Laptop Pro</v>
      </c>
      <c r="H2" s="2" t="str">
        <f>_xlfn.XLOOKUP(Sheet1!D2,Sheet3!$A$2:$A$11,Sheet3!$C$2:$C$11)</f>
        <v>Electronics</v>
      </c>
      <c r="I2" s="2" t="str">
        <f>_xlfn.XLOOKUP(D2,Sheet3!$A$2:$A$11,Sheet3!$D$2:$D$11)</f>
        <v>TechBrand</v>
      </c>
      <c r="J2" s="3">
        <f>Sheet1!F2* _xlfn.XLOOKUP(D2,Sheet3!$A$2:$A$11,Sheet3!$E$2:$E$11)</f>
        <v>220000</v>
      </c>
    </row>
    <row r="3" spans="1:10" ht="18" customHeight="1" x14ac:dyDescent="0.25">
      <c r="A3" s="4" t="s">
        <v>10</v>
      </c>
      <c r="B3" s="4" t="s">
        <v>11</v>
      </c>
      <c r="C3" s="2" t="str">
        <f t="shared" ref="C3:C41" si="0">TEXT(B3,"mmm")</f>
        <v>Jan</v>
      </c>
      <c r="D3" s="4" t="s">
        <v>12</v>
      </c>
      <c r="E3" s="4" t="s">
        <v>13</v>
      </c>
      <c r="F3" s="4">
        <v>1</v>
      </c>
      <c r="G3" s="2" t="str">
        <f>_xlfn.XLOOKUP(D3,Sheet3!$A$2:$A$11,Sheet3!$B$2:$B$11)</f>
        <v>Wireless Mouse</v>
      </c>
      <c r="H3" s="2" t="str">
        <f>_xlfn.XLOOKUP(Sheet1!D3,Sheet3!$A$2:$A$11,Sheet3!$C$2:$C$11)</f>
        <v>Accessories</v>
      </c>
      <c r="I3" s="2" t="str">
        <f>_xlfn.XLOOKUP(D3,Sheet3!$A$2:$A$11,Sheet3!$D$2:$D$11)</f>
        <v>TechBrand</v>
      </c>
      <c r="J3" s="3">
        <f>Sheet1!F3* _xlfn.XLOOKUP(D3,Sheet3!$A$2:$A$11,Sheet3!$E$2:$E$11)</f>
        <v>1200</v>
      </c>
    </row>
    <row r="4" spans="1:10" ht="18" customHeight="1" x14ac:dyDescent="0.25">
      <c r="A4" s="2" t="s">
        <v>14</v>
      </c>
      <c r="B4" s="2" t="s">
        <v>15</v>
      </c>
      <c r="C4" s="2" t="str">
        <f t="shared" si="0"/>
        <v>Jan</v>
      </c>
      <c r="D4" s="2" t="s">
        <v>16</v>
      </c>
      <c r="E4" s="2" t="s">
        <v>17</v>
      </c>
      <c r="F4" s="2">
        <v>9</v>
      </c>
      <c r="G4" s="2" t="str">
        <f>_xlfn.XLOOKUP(D4,Sheet3!$A$2:$A$11,Sheet3!$B$2:$B$11)</f>
        <v>Office Chair</v>
      </c>
      <c r="H4" s="2" t="str">
        <f>_xlfn.XLOOKUP(Sheet1!D4,Sheet3!$A$2:$A$11,Sheet3!$C$2:$C$11)</f>
        <v>Furniture</v>
      </c>
      <c r="I4" s="2" t="str">
        <f>_xlfn.XLOOKUP(D4,Sheet3!$A$2:$A$11,Sheet3!$D$2:$D$11)</f>
        <v>ComfortZone</v>
      </c>
      <c r="J4" s="3">
        <f>Sheet1!F4* _xlfn.XLOOKUP(D4,Sheet3!$A$2:$A$11,Sheet3!$E$2:$E$11)</f>
        <v>135000</v>
      </c>
    </row>
    <row r="5" spans="1:10" ht="18" customHeight="1" x14ac:dyDescent="0.25">
      <c r="A5" s="4" t="s">
        <v>18</v>
      </c>
      <c r="B5" s="4" t="s">
        <v>19</v>
      </c>
      <c r="C5" s="2" t="str">
        <f t="shared" si="0"/>
        <v>Jan</v>
      </c>
      <c r="D5" s="4" t="s">
        <v>20</v>
      </c>
      <c r="E5" s="4" t="s">
        <v>21</v>
      </c>
      <c r="F5" s="4">
        <v>8</v>
      </c>
      <c r="G5" s="2" t="str">
        <f>_xlfn.XLOOKUP(D5,Sheet3!$A$2:$A$11,Sheet3!$B$2:$B$11)</f>
        <v>Notebook Set</v>
      </c>
      <c r="H5" s="2" t="str">
        <f>_xlfn.XLOOKUP(Sheet1!D5,Sheet3!$A$2:$A$11,Sheet3!$C$2:$C$11)</f>
        <v>Stationery</v>
      </c>
      <c r="I5" s="2" t="str">
        <f>_xlfn.XLOOKUP(D5,Sheet3!$A$2:$A$11,Sheet3!$D$2:$D$11)</f>
        <v>WriteRight</v>
      </c>
      <c r="J5" s="3">
        <f>Sheet1!F5* _xlfn.XLOOKUP(D5,Sheet3!$A$2:$A$11,Sheet3!$E$2:$E$11)</f>
        <v>3600</v>
      </c>
    </row>
    <row r="6" spans="1:10" ht="18" customHeight="1" x14ac:dyDescent="0.25">
      <c r="A6" s="2" t="s">
        <v>22</v>
      </c>
      <c r="B6" s="2" t="s">
        <v>23</v>
      </c>
      <c r="C6" s="2" t="str">
        <f t="shared" si="0"/>
        <v>Feb</v>
      </c>
      <c r="D6" s="2" t="s">
        <v>24</v>
      </c>
      <c r="E6" s="2" t="s">
        <v>25</v>
      </c>
      <c r="F6" s="2">
        <v>8</v>
      </c>
      <c r="G6" s="2" t="str">
        <f>_xlfn.XLOOKUP(D6,Sheet3!$A$2:$A$11,Sheet3!$B$2:$B$11)</f>
        <v>USB-C Hub</v>
      </c>
      <c r="H6" s="2" t="str">
        <f>_xlfn.XLOOKUP(Sheet1!D6,Sheet3!$A$2:$A$11,Sheet3!$C$2:$C$11)</f>
        <v>Accessories</v>
      </c>
      <c r="I6" s="2" t="str">
        <f>_xlfn.XLOOKUP(D6,Sheet3!$A$2:$A$11,Sheet3!$D$2:$D$11)</f>
        <v>TechBrand</v>
      </c>
      <c r="J6" s="3">
        <f>Sheet1!F6* _xlfn.XLOOKUP(D6,Sheet3!$A$2:$A$11,Sheet3!$E$2:$E$11)</f>
        <v>28000</v>
      </c>
    </row>
    <row r="7" spans="1:10" ht="18" customHeight="1" x14ac:dyDescent="0.25">
      <c r="A7" s="4" t="s">
        <v>26</v>
      </c>
      <c r="B7" s="4" t="s">
        <v>27</v>
      </c>
      <c r="C7" s="2" t="str">
        <f>TEXT(B7,"mmm")</f>
        <v>Feb</v>
      </c>
      <c r="D7" s="4" t="s">
        <v>28</v>
      </c>
      <c r="E7" s="4" t="s">
        <v>9</v>
      </c>
      <c r="F7" s="4">
        <v>5</v>
      </c>
      <c r="G7" s="2" t="str">
        <f>_xlfn.XLOOKUP(D7,Sheet3!$A$2:$A$11,Sheet3!$B$2:$B$11)</f>
        <v>Standing Desk</v>
      </c>
      <c r="H7" s="2" t="str">
        <f>_xlfn.XLOOKUP(Sheet1!D7,Sheet3!$A$2:$A$11,Sheet3!$C$2:$C$11)</f>
        <v>Furniture</v>
      </c>
      <c r="I7" s="2" t="str">
        <f>_xlfn.XLOOKUP(D7,Sheet3!$A$2:$A$11,Sheet3!$D$2:$D$11)</f>
        <v>ComfortZone</v>
      </c>
      <c r="J7" s="3">
        <f>Sheet1!F7* _xlfn.XLOOKUP(D7,Sheet3!$A$2:$A$11,Sheet3!$E$2:$E$11)</f>
        <v>140000</v>
      </c>
    </row>
    <row r="8" spans="1:10" ht="18" customHeight="1" x14ac:dyDescent="0.25">
      <c r="A8" s="2" t="s">
        <v>26</v>
      </c>
      <c r="B8" s="2" t="s">
        <v>27</v>
      </c>
      <c r="C8" s="2" t="str">
        <f t="shared" si="0"/>
        <v>Feb</v>
      </c>
      <c r="D8" s="2" t="s">
        <v>28</v>
      </c>
      <c r="E8" s="2" t="s">
        <v>9</v>
      </c>
      <c r="F8" s="2">
        <v>5</v>
      </c>
      <c r="G8" s="2" t="str">
        <f>_xlfn.XLOOKUP(D8,Sheet3!$A$2:$A$11,Sheet3!$B$2:$B$11)</f>
        <v>Standing Desk</v>
      </c>
      <c r="H8" s="2" t="str">
        <f>_xlfn.XLOOKUP(Sheet1!D8,Sheet3!$A$2:$A$11,Sheet3!$C$2:$C$11)</f>
        <v>Furniture</v>
      </c>
      <c r="I8" s="2" t="str">
        <f>_xlfn.XLOOKUP(D8,Sheet3!$A$2:$A$11,Sheet3!$D$2:$D$11)</f>
        <v>ComfortZone</v>
      </c>
      <c r="J8" s="3">
        <f>Sheet1!F8* _xlfn.XLOOKUP(D8,Sheet3!$A$2:$A$11,Sheet3!$E$2:$E$11)</f>
        <v>140000</v>
      </c>
    </row>
    <row r="9" spans="1:10" ht="18" customHeight="1" x14ac:dyDescent="0.25">
      <c r="A9" s="4" t="s">
        <v>29</v>
      </c>
      <c r="B9" s="4" t="s">
        <v>30</v>
      </c>
      <c r="C9" s="2" t="str">
        <f t="shared" si="0"/>
        <v>Feb</v>
      </c>
      <c r="D9" s="4" t="s">
        <v>31</v>
      </c>
      <c r="E9" s="4" t="s">
        <v>13</v>
      </c>
      <c r="F9" s="4">
        <v>4</v>
      </c>
      <c r="G9" s="2" t="str">
        <f>_xlfn.XLOOKUP(D9,Sheet3!$A$2:$A$11,Sheet3!$B$2:$B$11)</f>
        <v>Webcam HD</v>
      </c>
      <c r="H9" s="2" t="str">
        <f>_xlfn.XLOOKUP(Sheet1!D9,Sheet3!$A$2:$A$11,Sheet3!$C$2:$C$11)</f>
        <v>Electronics</v>
      </c>
      <c r="I9" s="2" t="str">
        <f>_xlfn.XLOOKUP(D9,Sheet3!$A$2:$A$11,Sheet3!$D$2:$D$11)</f>
        <v>TechBrand</v>
      </c>
      <c r="J9" s="3">
        <f>Sheet1!F9* _xlfn.XLOOKUP(D9,Sheet3!$A$2:$A$11,Sheet3!$E$2:$E$11)</f>
        <v>18000</v>
      </c>
    </row>
    <row r="10" spans="1:10" ht="18" customHeight="1" x14ac:dyDescent="0.25">
      <c r="A10" s="2" t="s">
        <v>32</v>
      </c>
      <c r="B10" s="2" t="s">
        <v>33</v>
      </c>
      <c r="C10" s="2" t="str">
        <f t="shared" si="0"/>
        <v>Mar</v>
      </c>
      <c r="D10" s="2" t="s">
        <v>34</v>
      </c>
      <c r="E10" s="2" t="s">
        <v>21</v>
      </c>
      <c r="F10" s="2">
        <v>3</v>
      </c>
      <c r="G10" s="2" t="str">
        <f>_xlfn.XLOOKUP(D10,Sheet3!$A$2:$A$11,Sheet3!$B$2:$B$11)</f>
        <v>Monitor 27"</v>
      </c>
      <c r="H10" s="2" t="str">
        <f>_xlfn.XLOOKUP(Sheet1!D10,Sheet3!$A$2:$A$11,Sheet3!$C$2:$C$11)</f>
        <v>Electronics</v>
      </c>
      <c r="I10" s="2" t="str">
        <f>_xlfn.XLOOKUP(D10,Sheet3!$A$2:$A$11,Sheet3!$D$2:$D$11)</f>
        <v>TechBrand</v>
      </c>
      <c r="J10" s="3">
        <f>Sheet1!F10* _xlfn.XLOOKUP(D10,Sheet3!$A$2:$A$11,Sheet3!$E$2:$E$11)</f>
        <v>96000</v>
      </c>
    </row>
    <row r="11" spans="1:10" ht="18" customHeight="1" x14ac:dyDescent="0.25">
      <c r="A11" s="4" t="s">
        <v>35</v>
      </c>
      <c r="B11" s="4" t="s">
        <v>36</v>
      </c>
      <c r="C11" s="2" t="str">
        <f t="shared" si="0"/>
        <v>Mar</v>
      </c>
      <c r="D11" s="4" t="s">
        <v>37</v>
      </c>
      <c r="E11" s="4" t="s">
        <v>25</v>
      </c>
      <c r="F11" s="4">
        <v>19</v>
      </c>
      <c r="G11" s="2" t="str">
        <f>_xlfn.XLOOKUP(D11,Sheet3!$A$2:$A$11,Sheet3!$B$2:$B$11)</f>
        <v>Desk Lamp LED</v>
      </c>
      <c r="H11" s="2" t="str">
        <f>_xlfn.XLOOKUP(Sheet1!D11,Sheet3!$A$2:$A$11,Sheet3!$C$2:$C$11)</f>
        <v>Furniture</v>
      </c>
      <c r="I11" s="2" t="str">
        <f>_xlfn.XLOOKUP(D11,Sheet3!$A$2:$A$11,Sheet3!$D$2:$D$11)</f>
        <v>ComfortZone</v>
      </c>
      <c r="J11" s="3">
        <f>Sheet1!F11* _xlfn.XLOOKUP(D11,Sheet3!$A$2:$A$11,Sheet3!$E$2:$E$11)</f>
        <v>41800</v>
      </c>
    </row>
    <row r="12" spans="1:10" ht="18" customHeight="1" x14ac:dyDescent="0.25">
      <c r="A12" s="2" t="s">
        <v>38</v>
      </c>
      <c r="B12" s="2" t="s">
        <v>39</v>
      </c>
      <c r="C12" s="2" t="str">
        <f t="shared" si="0"/>
        <v>Mar</v>
      </c>
      <c r="D12" s="2" t="s">
        <v>8</v>
      </c>
      <c r="E12" s="2" t="s">
        <v>9</v>
      </c>
      <c r="F12" s="2">
        <v>14</v>
      </c>
      <c r="G12" s="2" t="str">
        <f>_xlfn.XLOOKUP(D12,Sheet3!$A$2:$A$11,Sheet3!$B$2:$B$11)</f>
        <v>Laptop Pro</v>
      </c>
      <c r="H12" s="2" t="str">
        <f>_xlfn.XLOOKUP(Sheet1!D12,Sheet3!$A$2:$A$11,Sheet3!$C$2:$C$11)</f>
        <v>Electronics</v>
      </c>
      <c r="I12" s="2" t="str">
        <f>_xlfn.XLOOKUP(D12,Sheet3!$A$2:$A$11,Sheet3!$D$2:$D$11)</f>
        <v>TechBrand</v>
      </c>
      <c r="J12" s="3">
        <f>Sheet1!F12* _xlfn.XLOOKUP(D12,Sheet3!$A$2:$A$11,Sheet3!$E$2:$E$11)</f>
        <v>770000</v>
      </c>
    </row>
    <row r="13" spans="1:10" ht="18" customHeight="1" x14ac:dyDescent="0.25">
      <c r="A13" s="4" t="s">
        <v>40</v>
      </c>
      <c r="B13" s="4" t="s">
        <v>41</v>
      </c>
      <c r="C13" s="2" t="str">
        <f t="shared" si="0"/>
        <v>Mar</v>
      </c>
      <c r="D13" s="4" t="s">
        <v>12</v>
      </c>
      <c r="E13" s="4" t="s">
        <v>13</v>
      </c>
      <c r="F13" s="4">
        <v>2</v>
      </c>
      <c r="G13" s="2" t="str">
        <f>_xlfn.XLOOKUP(D13,Sheet3!$A$2:$A$11,Sheet3!$B$2:$B$11)</f>
        <v>Wireless Mouse</v>
      </c>
      <c r="H13" s="2" t="str">
        <f>_xlfn.XLOOKUP(Sheet1!D13,Sheet3!$A$2:$A$11,Sheet3!$C$2:$C$11)</f>
        <v>Accessories</v>
      </c>
      <c r="I13" s="2" t="str">
        <f>_xlfn.XLOOKUP(D13,Sheet3!$A$2:$A$11,Sheet3!$D$2:$D$11)</f>
        <v>TechBrand</v>
      </c>
      <c r="J13" s="3">
        <f>Sheet1!F13* _xlfn.XLOOKUP(D13,Sheet3!$A$2:$A$11,Sheet3!$E$2:$E$11)</f>
        <v>2400</v>
      </c>
    </row>
    <row r="14" spans="1:10" ht="18" customHeight="1" x14ac:dyDescent="0.25">
      <c r="A14" s="2" t="s">
        <v>42</v>
      </c>
      <c r="B14" s="2" t="s">
        <v>43</v>
      </c>
      <c r="C14" s="2" t="str">
        <f t="shared" si="0"/>
        <v>Mar</v>
      </c>
      <c r="D14" s="2" t="s">
        <v>16</v>
      </c>
      <c r="E14" s="2" t="s">
        <v>17</v>
      </c>
      <c r="F14" s="2">
        <v>1</v>
      </c>
      <c r="G14" s="2" t="str">
        <f>_xlfn.XLOOKUP(D14,Sheet3!$A$2:$A$11,Sheet3!$B$2:$B$11)</f>
        <v>Office Chair</v>
      </c>
      <c r="H14" s="2" t="str">
        <f>_xlfn.XLOOKUP(Sheet1!D14,Sheet3!$A$2:$A$11,Sheet3!$C$2:$C$11)</f>
        <v>Furniture</v>
      </c>
      <c r="I14" s="2" t="str">
        <f>_xlfn.XLOOKUP(D14,Sheet3!$A$2:$A$11,Sheet3!$D$2:$D$11)</f>
        <v>ComfortZone</v>
      </c>
      <c r="J14" s="3">
        <f>Sheet1!F14* _xlfn.XLOOKUP(D14,Sheet3!$A$2:$A$11,Sheet3!$E$2:$E$11)</f>
        <v>15000</v>
      </c>
    </row>
    <row r="15" spans="1:10" ht="18" customHeight="1" x14ac:dyDescent="0.25">
      <c r="A15" s="4" t="s">
        <v>44</v>
      </c>
      <c r="B15" s="4" t="s">
        <v>45</v>
      </c>
      <c r="C15" s="2" t="str">
        <f t="shared" si="0"/>
        <v>Apr</v>
      </c>
      <c r="D15" s="4" t="s">
        <v>20</v>
      </c>
      <c r="E15" s="4" t="s">
        <v>21</v>
      </c>
      <c r="F15" s="4">
        <v>3</v>
      </c>
      <c r="G15" s="2" t="str">
        <f>_xlfn.XLOOKUP(D15,Sheet3!$A$2:$A$11,Sheet3!$B$2:$B$11)</f>
        <v>Notebook Set</v>
      </c>
      <c r="H15" s="2" t="str">
        <f>_xlfn.XLOOKUP(Sheet1!D15,Sheet3!$A$2:$A$11,Sheet3!$C$2:$C$11)</f>
        <v>Stationery</v>
      </c>
      <c r="I15" s="2" t="str">
        <f>_xlfn.XLOOKUP(D15,Sheet3!$A$2:$A$11,Sheet3!$D$2:$D$11)</f>
        <v>WriteRight</v>
      </c>
      <c r="J15" s="3">
        <f>Sheet1!F15* _xlfn.XLOOKUP(D15,Sheet3!$A$2:$A$11,Sheet3!$E$2:$E$11)</f>
        <v>1350</v>
      </c>
    </row>
    <row r="16" spans="1:10" ht="18" customHeight="1" x14ac:dyDescent="0.25">
      <c r="A16" s="2" t="s">
        <v>46</v>
      </c>
      <c r="B16" s="2" t="s">
        <v>47</v>
      </c>
      <c r="C16" s="2" t="str">
        <f t="shared" si="0"/>
        <v>Apr</v>
      </c>
      <c r="D16" s="2" t="s">
        <v>24</v>
      </c>
      <c r="E16" s="2" t="s">
        <v>25</v>
      </c>
      <c r="F16" s="2">
        <v>7</v>
      </c>
      <c r="G16" s="2" t="str">
        <f>_xlfn.XLOOKUP(D16,Sheet3!$A$2:$A$11,Sheet3!$B$2:$B$11)</f>
        <v>USB-C Hub</v>
      </c>
      <c r="H16" s="2" t="str">
        <f>_xlfn.XLOOKUP(Sheet1!D16,Sheet3!$A$2:$A$11,Sheet3!$C$2:$C$11)</f>
        <v>Accessories</v>
      </c>
      <c r="I16" s="2" t="str">
        <f>_xlfn.XLOOKUP(D16,Sheet3!$A$2:$A$11,Sheet3!$D$2:$D$11)</f>
        <v>TechBrand</v>
      </c>
      <c r="J16" s="3">
        <f>Sheet1!F16* _xlfn.XLOOKUP(D16,Sheet3!$A$2:$A$11,Sheet3!$E$2:$E$11)</f>
        <v>24500</v>
      </c>
    </row>
    <row r="17" spans="1:10" ht="18" customHeight="1" x14ac:dyDescent="0.25">
      <c r="A17" s="4" t="s">
        <v>48</v>
      </c>
      <c r="B17" s="4" t="s">
        <v>49</v>
      </c>
      <c r="C17" s="2" t="str">
        <f t="shared" si="0"/>
        <v>Apr</v>
      </c>
      <c r="D17" s="4" t="s">
        <v>31</v>
      </c>
      <c r="E17" s="4" t="s">
        <v>13</v>
      </c>
      <c r="F17" s="4">
        <v>17</v>
      </c>
      <c r="G17" s="2" t="str">
        <f>_xlfn.XLOOKUP(D17,Sheet3!$A$2:$A$11,Sheet3!$B$2:$B$11)</f>
        <v>Webcam HD</v>
      </c>
      <c r="H17" s="2" t="str">
        <f>_xlfn.XLOOKUP(Sheet1!D17,Sheet3!$A$2:$A$11,Sheet3!$C$2:$C$11)</f>
        <v>Electronics</v>
      </c>
      <c r="I17" s="2" t="str">
        <f>_xlfn.XLOOKUP(D17,Sheet3!$A$2:$A$11,Sheet3!$D$2:$D$11)</f>
        <v>TechBrand</v>
      </c>
      <c r="J17" s="3">
        <f>Sheet1!F17* _xlfn.XLOOKUP(D17,Sheet3!$A$2:$A$11,Sheet3!$E$2:$E$11)</f>
        <v>76500</v>
      </c>
    </row>
    <row r="18" spans="1:10" ht="18" customHeight="1" x14ac:dyDescent="0.25">
      <c r="A18" s="2" t="s">
        <v>50</v>
      </c>
      <c r="B18" s="2" t="s">
        <v>51</v>
      </c>
      <c r="C18" s="2" t="str">
        <f t="shared" si="0"/>
        <v>May</v>
      </c>
      <c r="D18" s="2" t="s">
        <v>52</v>
      </c>
      <c r="E18" s="2" t="s">
        <v>17</v>
      </c>
      <c r="F18" s="2">
        <v>20</v>
      </c>
      <c r="G18" s="2" t="str">
        <f>_xlfn.XLOOKUP(D18,Sheet3!$A$2:$A$11,Sheet3!$B$2:$B$11)</f>
        <v>Pen Drive 128GB</v>
      </c>
      <c r="H18" s="2" t="str">
        <f>_xlfn.XLOOKUP(Sheet1!D18,Sheet3!$A$2:$A$11,Sheet3!$C$2:$C$11)</f>
        <v>Accessories</v>
      </c>
      <c r="I18" s="2" t="str">
        <f>_xlfn.XLOOKUP(D18,Sheet3!$A$2:$A$11,Sheet3!$D$2:$D$11)</f>
        <v>StorePro</v>
      </c>
      <c r="J18" s="3">
        <f>Sheet1!F18* _xlfn.XLOOKUP(D18,Sheet3!$A$2:$A$11,Sheet3!$E$2:$E$11)</f>
        <v>17000</v>
      </c>
    </row>
    <row r="19" spans="1:10" ht="18" customHeight="1" x14ac:dyDescent="0.25">
      <c r="A19" s="4" t="s">
        <v>53</v>
      </c>
      <c r="B19" s="4" t="s">
        <v>54</v>
      </c>
      <c r="C19" s="2" t="str">
        <f t="shared" si="0"/>
        <v>May</v>
      </c>
      <c r="D19" s="4" t="s">
        <v>34</v>
      </c>
      <c r="E19" s="4" t="s">
        <v>21</v>
      </c>
      <c r="F19" s="4">
        <v>1</v>
      </c>
      <c r="G19" s="2" t="str">
        <f>_xlfn.XLOOKUP(D19,Sheet3!$A$2:$A$11,Sheet3!$B$2:$B$11)</f>
        <v>Monitor 27"</v>
      </c>
      <c r="H19" s="2" t="str">
        <f>_xlfn.XLOOKUP(Sheet1!D19,Sheet3!$A$2:$A$11,Sheet3!$C$2:$C$11)</f>
        <v>Electronics</v>
      </c>
      <c r="I19" s="2" t="str">
        <f>_xlfn.XLOOKUP(D19,Sheet3!$A$2:$A$11,Sheet3!$D$2:$D$11)</f>
        <v>TechBrand</v>
      </c>
      <c r="J19" s="3">
        <f>Sheet1!F19* _xlfn.XLOOKUP(D19,Sheet3!$A$2:$A$11,Sheet3!$E$2:$E$11)</f>
        <v>32000</v>
      </c>
    </row>
    <row r="20" spans="1:10" ht="18" customHeight="1" x14ac:dyDescent="0.25">
      <c r="A20" s="2" t="s">
        <v>55</v>
      </c>
      <c r="B20" s="2" t="s">
        <v>56</v>
      </c>
      <c r="C20" s="2" t="str">
        <f t="shared" si="0"/>
        <v>May</v>
      </c>
      <c r="D20" s="2" t="s">
        <v>37</v>
      </c>
      <c r="E20" s="2" t="s">
        <v>25</v>
      </c>
      <c r="F20" s="2">
        <v>18</v>
      </c>
      <c r="G20" s="2" t="str">
        <f>_xlfn.XLOOKUP(D20,Sheet3!$A$2:$A$11,Sheet3!$B$2:$B$11)</f>
        <v>Desk Lamp LED</v>
      </c>
      <c r="H20" s="2" t="str">
        <f>_xlfn.XLOOKUP(Sheet1!D20,Sheet3!$A$2:$A$11,Sheet3!$C$2:$C$11)</f>
        <v>Furniture</v>
      </c>
      <c r="I20" s="2" t="str">
        <f>_xlfn.XLOOKUP(D20,Sheet3!$A$2:$A$11,Sheet3!$D$2:$D$11)</f>
        <v>ComfortZone</v>
      </c>
      <c r="J20" s="3">
        <f>Sheet1!F20* _xlfn.XLOOKUP(D20,Sheet3!$A$2:$A$11,Sheet3!$E$2:$E$11)</f>
        <v>39600</v>
      </c>
    </row>
    <row r="21" spans="1:10" ht="18" customHeight="1" x14ac:dyDescent="0.25">
      <c r="A21" s="4" t="s">
        <v>57</v>
      </c>
      <c r="B21" s="4" t="s">
        <v>58</v>
      </c>
      <c r="C21" s="2" t="str">
        <f t="shared" si="0"/>
        <v>May</v>
      </c>
      <c r="D21" s="4" t="s">
        <v>8</v>
      </c>
      <c r="E21" s="4" t="s">
        <v>9</v>
      </c>
      <c r="F21" s="4">
        <v>7</v>
      </c>
      <c r="G21" s="2" t="str">
        <f>_xlfn.XLOOKUP(D21,Sheet3!$A$2:$A$11,Sheet3!$B$2:$B$11)</f>
        <v>Laptop Pro</v>
      </c>
      <c r="H21" s="2" t="str">
        <f>_xlfn.XLOOKUP(Sheet1!D21,Sheet3!$A$2:$A$11,Sheet3!$C$2:$C$11)</f>
        <v>Electronics</v>
      </c>
      <c r="I21" s="2" t="str">
        <f>_xlfn.XLOOKUP(D21,Sheet3!$A$2:$A$11,Sheet3!$D$2:$D$11)</f>
        <v>TechBrand</v>
      </c>
      <c r="J21" s="3">
        <f>Sheet1!F21* _xlfn.XLOOKUP(D21,Sheet3!$A$2:$A$11,Sheet3!$E$2:$E$11)</f>
        <v>385000</v>
      </c>
    </row>
    <row r="22" spans="1:10" ht="18" customHeight="1" x14ac:dyDescent="0.25">
      <c r="A22" s="2" t="s">
        <v>57</v>
      </c>
      <c r="B22" s="2" t="s">
        <v>58</v>
      </c>
      <c r="C22" s="2" t="str">
        <f t="shared" si="0"/>
        <v>May</v>
      </c>
      <c r="D22" s="2" t="s">
        <v>8</v>
      </c>
      <c r="E22" s="2" t="s">
        <v>9</v>
      </c>
      <c r="F22" s="2">
        <v>7</v>
      </c>
      <c r="G22" s="2" t="str">
        <f>_xlfn.XLOOKUP(D22,Sheet3!$A$2:$A$11,Sheet3!$B$2:$B$11)</f>
        <v>Laptop Pro</v>
      </c>
      <c r="H22" s="2" t="str">
        <f>_xlfn.XLOOKUP(Sheet1!D22,Sheet3!$A$2:$A$11,Sheet3!$C$2:$C$11)</f>
        <v>Electronics</v>
      </c>
      <c r="I22" s="2" t="str">
        <f>_xlfn.XLOOKUP(D22,Sheet3!$A$2:$A$11,Sheet3!$D$2:$D$11)</f>
        <v>TechBrand</v>
      </c>
      <c r="J22" s="3">
        <f>Sheet1!F22* _xlfn.XLOOKUP(D22,Sheet3!$A$2:$A$11,Sheet3!$E$2:$E$11)</f>
        <v>385000</v>
      </c>
    </row>
    <row r="23" spans="1:10" ht="18" customHeight="1" x14ac:dyDescent="0.25">
      <c r="A23" s="4" t="s">
        <v>59</v>
      </c>
      <c r="B23" s="4" t="s">
        <v>60</v>
      </c>
      <c r="C23" s="2" t="str">
        <f t="shared" si="0"/>
        <v>Jun</v>
      </c>
      <c r="D23" s="4" t="s">
        <v>12</v>
      </c>
      <c r="E23" s="4" t="s">
        <v>13</v>
      </c>
      <c r="F23" s="4">
        <v>18</v>
      </c>
      <c r="G23" s="2" t="str">
        <f>_xlfn.XLOOKUP(D23,Sheet3!$A$2:$A$11,Sheet3!$B$2:$B$11)</f>
        <v>Wireless Mouse</v>
      </c>
      <c r="H23" s="2" t="str">
        <f>_xlfn.XLOOKUP(Sheet1!D23,Sheet3!$A$2:$A$11,Sheet3!$C$2:$C$11)</f>
        <v>Accessories</v>
      </c>
      <c r="I23" s="2" t="str">
        <f>_xlfn.XLOOKUP(D23,Sheet3!$A$2:$A$11,Sheet3!$D$2:$D$11)</f>
        <v>TechBrand</v>
      </c>
      <c r="J23" s="3">
        <f>Sheet1!F23* _xlfn.XLOOKUP(D23,Sheet3!$A$2:$A$11,Sheet3!$E$2:$E$11)</f>
        <v>21600</v>
      </c>
    </row>
    <row r="24" spans="1:10" ht="18" customHeight="1" x14ac:dyDescent="0.25">
      <c r="A24" s="2" t="s">
        <v>61</v>
      </c>
      <c r="B24" s="2" t="s">
        <v>62</v>
      </c>
      <c r="C24" s="2" t="str">
        <f t="shared" si="0"/>
        <v>Jun</v>
      </c>
      <c r="D24" s="2" t="s">
        <v>16</v>
      </c>
      <c r="E24" s="2" t="s">
        <v>17</v>
      </c>
      <c r="F24" s="2">
        <v>14</v>
      </c>
      <c r="G24" s="2" t="str">
        <f>_xlfn.XLOOKUP(D24,Sheet3!$A$2:$A$11,Sheet3!$B$2:$B$11)</f>
        <v>Office Chair</v>
      </c>
      <c r="H24" s="2" t="str">
        <f>_xlfn.XLOOKUP(Sheet1!D24,Sheet3!$A$2:$A$11,Sheet3!$C$2:$C$11)</f>
        <v>Furniture</v>
      </c>
      <c r="I24" s="2" t="str">
        <f>_xlfn.XLOOKUP(D24,Sheet3!$A$2:$A$11,Sheet3!$D$2:$D$11)</f>
        <v>ComfortZone</v>
      </c>
      <c r="J24" s="3">
        <f>Sheet1!F24* _xlfn.XLOOKUP(D24,Sheet3!$A$2:$A$11,Sheet3!$E$2:$E$11)</f>
        <v>210000</v>
      </c>
    </row>
    <row r="25" spans="1:10" ht="18" customHeight="1" x14ac:dyDescent="0.25">
      <c r="A25" s="4" t="s">
        <v>63</v>
      </c>
      <c r="B25" s="4" t="s">
        <v>64</v>
      </c>
      <c r="C25" s="2" t="str">
        <f t="shared" si="0"/>
        <v>Jun</v>
      </c>
      <c r="D25" s="4" t="s">
        <v>24</v>
      </c>
      <c r="E25" s="4" t="s">
        <v>25</v>
      </c>
      <c r="F25" s="4">
        <v>15</v>
      </c>
      <c r="G25" s="2" t="str">
        <f>_xlfn.XLOOKUP(D25,Sheet3!$A$2:$A$11,Sheet3!$B$2:$B$11)</f>
        <v>USB-C Hub</v>
      </c>
      <c r="H25" s="2" t="str">
        <f>_xlfn.XLOOKUP(Sheet1!D25,Sheet3!$A$2:$A$11,Sheet3!$C$2:$C$11)</f>
        <v>Accessories</v>
      </c>
      <c r="I25" s="2" t="str">
        <f>_xlfn.XLOOKUP(D25,Sheet3!$A$2:$A$11,Sheet3!$D$2:$D$11)</f>
        <v>TechBrand</v>
      </c>
      <c r="J25" s="3">
        <f>Sheet1!F25* _xlfn.XLOOKUP(D25,Sheet3!$A$2:$A$11,Sheet3!$E$2:$E$11)</f>
        <v>52500</v>
      </c>
    </row>
    <row r="26" spans="1:10" ht="18" customHeight="1" x14ac:dyDescent="0.25">
      <c r="A26" s="2" t="s">
        <v>65</v>
      </c>
      <c r="B26" s="2" t="s">
        <v>66</v>
      </c>
      <c r="C26" s="2" t="str">
        <f t="shared" si="0"/>
        <v>Jul</v>
      </c>
      <c r="D26" s="2" t="s">
        <v>28</v>
      </c>
      <c r="E26" s="2" t="s">
        <v>9</v>
      </c>
      <c r="F26" s="2">
        <v>19</v>
      </c>
      <c r="G26" s="2" t="str">
        <f>_xlfn.XLOOKUP(D26,Sheet3!$A$2:$A$11,Sheet3!$B$2:$B$11)</f>
        <v>Standing Desk</v>
      </c>
      <c r="H26" s="2" t="str">
        <f>_xlfn.XLOOKUP(Sheet1!D26,Sheet3!$A$2:$A$11,Sheet3!$C$2:$C$11)</f>
        <v>Furniture</v>
      </c>
      <c r="I26" s="2" t="str">
        <f>_xlfn.XLOOKUP(D26,Sheet3!$A$2:$A$11,Sheet3!$D$2:$D$11)</f>
        <v>ComfortZone</v>
      </c>
      <c r="J26" s="3">
        <f>Sheet1!F26* _xlfn.XLOOKUP(D26,Sheet3!$A$2:$A$11,Sheet3!$E$2:$E$11)</f>
        <v>532000</v>
      </c>
    </row>
    <row r="27" spans="1:10" ht="18" customHeight="1" x14ac:dyDescent="0.25">
      <c r="A27" s="4" t="s">
        <v>67</v>
      </c>
      <c r="B27" s="4" t="s">
        <v>68</v>
      </c>
      <c r="C27" s="2" t="str">
        <f t="shared" si="0"/>
        <v>Jul</v>
      </c>
      <c r="D27" s="4" t="s">
        <v>31</v>
      </c>
      <c r="E27" s="4" t="s">
        <v>13</v>
      </c>
      <c r="F27" s="4">
        <v>9</v>
      </c>
      <c r="G27" s="2" t="str">
        <f>_xlfn.XLOOKUP(D27,Sheet3!$A$2:$A$11,Sheet3!$B$2:$B$11)</f>
        <v>Webcam HD</v>
      </c>
      <c r="H27" s="2" t="str">
        <f>_xlfn.XLOOKUP(Sheet1!D27,Sheet3!$A$2:$A$11,Sheet3!$C$2:$C$11)</f>
        <v>Electronics</v>
      </c>
      <c r="I27" s="2" t="str">
        <f>_xlfn.XLOOKUP(D27,Sheet3!$A$2:$A$11,Sheet3!$D$2:$D$11)</f>
        <v>TechBrand</v>
      </c>
      <c r="J27" s="3">
        <f>Sheet1!F27* _xlfn.XLOOKUP(D27,Sheet3!$A$2:$A$11,Sheet3!$E$2:$E$11)</f>
        <v>40500</v>
      </c>
    </row>
    <row r="28" spans="1:10" ht="18" customHeight="1" x14ac:dyDescent="0.25">
      <c r="A28" s="2" t="s">
        <v>69</v>
      </c>
      <c r="B28" s="2" t="s">
        <v>70</v>
      </c>
      <c r="C28" s="2" t="str">
        <f t="shared" si="0"/>
        <v>Jul</v>
      </c>
      <c r="D28" s="2" t="s">
        <v>52</v>
      </c>
      <c r="E28" s="2" t="s">
        <v>17</v>
      </c>
      <c r="F28" s="2">
        <v>1</v>
      </c>
      <c r="G28" s="2" t="str">
        <f>_xlfn.XLOOKUP(D28,Sheet3!$A$2:$A$11,Sheet3!$B$2:$B$11)</f>
        <v>Pen Drive 128GB</v>
      </c>
      <c r="H28" s="2" t="str">
        <f>_xlfn.XLOOKUP(Sheet1!D28,Sheet3!$A$2:$A$11,Sheet3!$C$2:$C$11)</f>
        <v>Accessories</v>
      </c>
      <c r="I28" s="2" t="str">
        <f>_xlfn.XLOOKUP(D28,Sheet3!$A$2:$A$11,Sheet3!$D$2:$D$11)</f>
        <v>StorePro</v>
      </c>
      <c r="J28" s="3">
        <f>Sheet1!F28* _xlfn.XLOOKUP(D28,Sheet3!$A$2:$A$11,Sheet3!$E$2:$E$11)</f>
        <v>850</v>
      </c>
    </row>
    <row r="29" spans="1:10" ht="18" customHeight="1" x14ac:dyDescent="0.25">
      <c r="A29" s="4" t="s">
        <v>71</v>
      </c>
      <c r="B29" s="4" t="s">
        <v>72</v>
      </c>
      <c r="C29" s="2" t="str">
        <f t="shared" si="0"/>
        <v>Jul</v>
      </c>
      <c r="D29" s="4" t="s">
        <v>34</v>
      </c>
      <c r="E29" s="4" t="s">
        <v>21</v>
      </c>
      <c r="F29" s="4">
        <v>6</v>
      </c>
      <c r="G29" s="2" t="str">
        <f>_xlfn.XLOOKUP(D29,Sheet3!$A$2:$A$11,Sheet3!$B$2:$B$11)</f>
        <v>Monitor 27"</v>
      </c>
      <c r="H29" s="2" t="str">
        <f>_xlfn.XLOOKUP(Sheet1!D29,Sheet3!$A$2:$A$11,Sheet3!$C$2:$C$11)</f>
        <v>Electronics</v>
      </c>
      <c r="I29" s="2" t="str">
        <f>_xlfn.XLOOKUP(D29,Sheet3!$A$2:$A$11,Sheet3!$D$2:$D$11)</f>
        <v>TechBrand</v>
      </c>
      <c r="J29" s="3">
        <f>Sheet1!F29* _xlfn.XLOOKUP(D29,Sheet3!$A$2:$A$11,Sheet3!$E$2:$E$11)</f>
        <v>192000</v>
      </c>
    </row>
    <row r="30" spans="1:10" ht="18" customHeight="1" x14ac:dyDescent="0.25">
      <c r="A30" s="2" t="s">
        <v>73</v>
      </c>
      <c r="B30" s="2" t="s">
        <v>74</v>
      </c>
      <c r="C30" s="2" t="str">
        <f t="shared" si="0"/>
        <v>Aug</v>
      </c>
      <c r="D30" s="2" t="s">
        <v>37</v>
      </c>
      <c r="E30" s="2" t="s">
        <v>25</v>
      </c>
      <c r="F30" s="2">
        <v>14</v>
      </c>
      <c r="G30" s="2" t="str">
        <f>_xlfn.XLOOKUP(D30,Sheet3!$A$2:$A$11,Sheet3!$B$2:$B$11)</f>
        <v>Desk Lamp LED</v>
      </c>
      <c r="H30" s="2" t="str">
        <f>_xlfn.XLOOKUP(Sheet1!D30,Sheet3!$A$2:$A$11,Sheet3!$C$2:$C$11)</f>
        <v>Furniture</v>
      </c>
      <c r="I30" s="2" t="str">
        <f>_xlfn.XLOOKUP(D30,Sheet3!$A$2:$A$11,Sheet3!$D$2:$D$11)</f>
        <v>ComfortZone</v>
      </c>
      <c r="J30" s="3">
        <f>Sheet1!F30* _xlfn.XLOOKUP(D30,Sheet3!$A$2:$A$11,Sheet3!$E$2:$E$11)</f>
        <v>30800</v>
      </c>
    </row>
    <row r="31" spans="1:10" ht="18" customHeight="1" x14ac:dyDescent="0.25">
      <c r="A31" s="4" t="s">
        <v>75</v>
      </c>
      <c r="B31" s="4" t="s">
        <v>76</v>
      </c>
      <c r="C31" s="2" t="str">
        <f t="shared" si="0"/>
        <v>Aug</v>
      </c>
      <c r="D31" s="4" t="s">
        <v>8</v>
      </c>
      <c r="E31" s="4" t="s">
        <v>9</v>
      </c>
      <c r="F31" s="4">
        <v>11</v>
      </c>
      <c r="G31" s="2" t="str">
        <f>_xlfn.XLOOKUP(D31,Sheet3!$A$2:$A$11,Sheet3!$B$2:$B$11)</f>
        <v>Laptop Pro</v>
      </c>
      <c r="H31" s="2" t="str">
        <f>_xlfn.XLOOKUP(Sheet1!D31,Sheet3!$A$2:$A$11,Sheet3!$C$2:$C$11)</f>
        <v>Electronics</v>
      </c>
      <c r="I31" s="2" t="str">
        <f>_xlfn.XLOOKUP(D31,Sheet3!$A$2:$A$11,Sheet3!$D$2:$D$11)</f>
        <v>TechBrand</v>
      </c>
      <c r="J31" s="3">
        <f>Sheet1!F31* _xlfn.XLOOKUP(D31,Sheet3!$A$2:$A$11,Sheet3!$E$2:$E$11)</f>
        <v>605000</v>
      </c>
    </row>
    <row r="32" spans="1:10" ht="18" customHeight="1" x14ac:dyDescent="0.25">
      <c r="A32" s="2" t="s">
        <v>77</v>
      </c>
      <c r="B32" s="2" t="s">
        <v>78</v>
      </c>
      <c r="C32" s="2" t="str">
        <f t="shared" si="0"/>
        <v>Aug</v>
      </c>
      <c r="D32" s="2" t="s">
        <v>12</v>
      </c>
      <c r="E32" s="2" t="s">
        <v>13</v>
      </c>
      <c r="F32" s="2">
        <v>9</v>
      </c>
      <c r="G32" s="2" t="str">
        <f>_xlfn.XLOOKUP(D32,Sheet3!$A$2:$A$11,Sheet3!$B$2:$B$11)</f>
        <v>Wireless Mouse</v>
      </c>
      <c r="H32" s="2" t="str">
        <f>_xlfn.XLOOKUP(Sheet1!D32,Sheet3!$A$2:$A$11,Sheet3!$C$2:$C$11)</f>
        <v>Accessories</v>
      </c>
      <c r="I32" s="2" t="str">
        <f>_xlfn.XLOOKUP(D32,Sheet3!$A$2:$A$11,Sheet3!$D$2:$D$11)</f>
        <v>TechBrand</v>
      </c>
      <c r="J32" s="3">
        <f>Sheet1!F32* _xlfn.XLOOKUP(D32,Sheet3!$A$2:$A$11,Sheet3!$E$2:$E$11)</f>
        <v>10800</v>
      </c>
    </row>
    <row r="33" spans="1:10" ht="18" customHeight="1" x14ac:dyDescent="0.25">
      <c r="A33" s="4" t="s">
        <v>79</v>
      </c>
      <c r="B33" s="4" t="s">
        <v>80</v>
      </c>
      <c r="C33" s="2" t="str">
        <f t="shared" si="0"/>
        <v>Aug</v>
      </c>
      <c r="D33" s="4" t="s">
        <v>16</v>
      </c>
      <c r="E33" s="4" t="s">
        <v>17</v>
      </c>
      <c r="F33" s="4">
        <v>5</v>
      </c>
      <c r="G33" s="2" t="str">
        <f>_xlfn.XLOOKUP(D33,Sheet3!$A$2:$A$11,Sheet3!$B$2:$B$11)</f>
        <v>Office Chair</v>
      </c>
      <c r="H33" s="2" t="str">
        <f>_xlfn.XLOOKUP(Sheet1!D33,Sheet3!$A$2:$A$11,Sheet3!$C$2:$C$11)</f>
        <v>Furniture</v>
      </c>
      <c r="I33" s="2" t="str">
        <f>_xlfn.XLOOKUP(D33,Sheet3!$A$2:$A$11,Sheet3!$D$2:$D$11)</f>
        <v>ComfortZone</v>
      </c>
      <c r="J33" s="3">
        <f>Sheet1!F33* _xlfn.XLOOKUP(D33,Sheet3!$A$2:$A$11,Sheet3!$E$2:$E$11)</f>
        <v>75000</v>
      </c>
    </row>
    <row r="34" spans="1:10" ht="18" customHeight="1" x14ac:dyDescent="0.25">
      <c r="A34" s="2" t="s">
        <v>81</v>
      </c>
      <c r="B34" s="2" t="s">
        <v>82</v>
      </c>
      <c r="C34" s="2" t="str">
        <f t="shared" si="0"/>
        <v>Sep</v>
      </c>
      <c r="D34" s="2" t="s">
        <v>24</v>
      </c>
      <c r="E34" s="2" t="s">
        <v>25</v>
      </c>
      <c r="F34" s="2">
        <v>11</v>
      </c>
      <c r="G34" s="2" t="str">
        <f>_xlfn.XLOOKUP(D34,Sheet3!$A$2:$A$11,Sheet3!$B$2:$B$11)</f>
        <v>USB-C Hub</v>
      </c>
      <c r="H34" s="2" t="str">
        <f>_xlfn.XLOOKUP(Sheet1!D34,Sheet3!$A$2:$A$11,Sheet3!$C$2:$C$11)</f>
        <v>Accessories</v>
      </c>
      <c r="I34" s="2" t="str">
        <f>_xlfn.XLOOKUP(D34,Sheet3!$A$2:$A$11,Sheet3!$D$2:$D$11)</f>
        <v>TechBrand</v>
      </c>
      <c r="J34" s="3">
        <f>Sheet1!F34* _xlfn.XLOOKUP(D34,Sheet3!$A$2:$A$11,Sheet3!$E$2:$E$11)</f>
        <v>38500</v>
      </c>
    </row>
    <row r="35" spans="1:10" ht="18" customHeight="1" x14ac:dyDescent="0.25">
      <c r="A35" s="4" t="s">
        <v>83</v>
      </c>
      <c r="B35" s="4" t="s">
        <v>84</v>
      </c>
      <c r="C35" s="2" t="str">
        <f t="shared" si="0"/>
        <v>Sep</v>
      </c>
      <c r="D35" s="4" t="s">
        <v>28</v>
      </c>
      <c r="E35" s="4" t="s">
        <v>9</v>
      </c>
      <c r="F35" s="4">
        <v>4</v>
      </c>
      <c r="G35" s="2" t="str">
        <f>_xlfn.XLOOKUP(D35,Sheet3!$A$2:$A$11,Sheet3!$B$2:$B$11)</f>
        <v>Standing Desk</v>
      </c>
      <c r="H35" s="2" t="str">
        <f>_xlfn.XLOOKUP(Sheet1!D35,Sheet3!$A$2:$A$11,Sheet3!$C$2:$C$11)</f>
        <v>Furniture</v>
      </c>
      <c r="I35" s="2" t="str">
        <f>_xlfn.XLOOKUP(D35,Sheet3!$A$2:$A$11,Sheet3!$D$2:$D$11)</f>
        <v>ComfortZone</v>
      </c>
      <c r="J35" s="3">
        <f>Sheet1!F35* _xlfn.XLOOKUP(D35,Sheet3!$A$2:$A$11,Sheet3!$E$2:$E$11)</f>
        <v>112000</v>
      </c>
    </row>
    <row r="36" spans="1:10" ht="18" customHeight="1" x14ac:dyDescent="0.25">
      <c r="A36" s="2" t="s">
        <v>83</v>
      </c>
      <c r="B36" s="2" t="s">
        <v>84</v>
      </c>
      <c r="C36" s="2" t="str">
        <f t="shared" si="0"/>
        <v>Sep</v>
      </c>
      <c r="D36" s="2" t="s">
        <v>28</v>
      </c>
      <c r="E36" s="2" t="s">
        <v>9</v>
      </c>
      <c r="F36" s="2">
        <v>4</v>
      </c>
      <c r="G36" s="2" t="str">
        <f>_xlfn.XLOOKUP(D36,Sheet3!$A$2:$A$11,Sheet3!$B$2:$B$11)</f>
        <v>Standing Desk</v>
      </c>
      <c r="H36" s="2" t="str">
        <f>_xlfn.XLOOKUP(Sheet1!D36,Sheet3!$A$2:$A$11,Sheet3!$C$2:$C$11)</f>
        <v>Furniture</v>
      </c>
      <c r="I36" s="2" t="str">
        <f>_xlfn.XLOOKUP(D36,Sheet3!$A$2:$A$11,Sheet3!$D$2:$D$11)</f>
        <v>ComfortZone</v>
      </c>
      <c r="J36" s="3">
        <f>Sheet1!F36* _xlfn.XLOOKUP(D36,Sheet3!$A$2:$A$11,Sheet3!$E$2:$E$11)</f>
        <v>112000</v>
      </c>
    </row>
    <row r="37" spans="1:10" ht="18" customHeight="1" x14ac:dyDescent="0.25">
      <c r="A37" s="4" t="s">
        <v>85</v>
      </c>
      <c r="B37" s="4" t="s">
        <v>86</v>
      </c>
      <c r="C37" s="2" t="str">
        <f t="shared" si="0"/>
        <v>Sep</v>
      </c>
      <c r="D37" s="4" t="s">
        <v>31</v>
      </c>
      <c r="E37" s="4" t="s">
        <v>13</v>
      </c>
      <c r="F37" s="4">
        <v>3</v>
      </c>
      <c r="G37" s="2" t="str">
        <f>_xlfn.XLOOKUP(D37,Sheet3!$A$2:$A$11,Sheet3!$B$2:$B$11)</f>
        <v>Webcam HD</v>
      </c>
      <c r="H37" s="2" t="str">
        <f>_xlfn.XLOOKUP(Sheet1!D37,Sheet3!$A$2:$A$11,Sheet3!$C$2:$C$11)</f>
        <v>Electronics</v>
      </c>
      <c r="I37" s="2" t="str">
        <f>_xlfn.XLOOKUP(D37,Sheet3!$A$2:$A$11,Sheet3!$D$2:$D$11)</f>
        <v>TechBrand</v>
      </c>
      <c r="J37" s="3">
        <f>Sheet1!F37* _xlfn.XLOOKUP(D37,Sheet3!$A$2:$A$11,Sheet3!$E$2:$E$11)</f>
        <v>13500</v>
      </c>
    </row>
    <row r="38" spans="1:10" ht="18" customHeight="1" x14ac:dyDescent="0.25">
      <c r="A38" s="2" t="s">
        <v>87</v>
      </c>
      <c r="B38" s="2" t="s">
        <v>88</v>
      </c>
      <c r="C38" s="2" t="str">
        <f t="shared" si="0"/>
        <v>Oct</v>
      </c>
      <c r="D38" s="2" t="s">
        <v>52</v>
      </c>
      <c r="E38" s="2" t="s">
        <v>17</v>
      </c>
      <c r="F38" s="2">
        <v>13</v>
      </c>
      <c r="G38" s="2" t="str">
        <f>_xlfn.XLOOKUP(D38,Sheet3!$A$2:$A$11,Sheet3!$B$2:$B$11)</f>
        <v>Pen Drive 128GB</v>
      </c>
      <c r="H38" s="2" t="str">
        <f>_xlfn.XLOOKUP(Sheet1!D38,Sheet3!$A$2:$A$11,Sheet3!$C$2:$C$11)</f>
        <v>Accessories</v>
      </c>
      <c r="I38" s="2" t="str">
        <f>_xlfn.XLOOKUP(D38,Sheet3!$A$2:$A$11,Sheet3!$D$2:$D$11)</f>
        <v>StorePro</v>
      </c>
      <c r="J38" s="3">
        <f>Sheet1!F38* _xlfn.XLOOKUP(D38,Sheet3!$A$2:$A$11,Sheet3!$E$2:$E$11)</f>
        <v>11050</v>
      </c>
    </row>
    <row r="39" spans="1:10" ht="18" customHeight="1" x14ac:dyDescent="0.25">
      <c r="A39" s="4" t="s">
        <v>89</v>
      </c>
      <c r="B39" s="4" t="s">
        <v>90</v>
      </c>
      <c r="C39" s="2" t="str">
        <f t="shared" si="0"/>
        <v>Oct</v>
      </c>
      <c r="D39" s="4" t="s">
        <v>34</v>
      </c>
      <c r="E39" s="4" t="s">
        <v>21</v>
      </c>
      <c r="F39" s="4">
        <v>4</v>
      </c>
      <c r="G39" s="2" t="str">
        <f>_xlfn.XLOOKUP(D39,Sheet3!$A$2:$A$11,Sheet3!$B$2:$B$11)</f>
        <v>Monitor 27"</v>
      </c>
      <c r="H39" s="2" t="str">
        <f>_xlfn.XLOOKUP(Sheet1!D39,Sheet3!$A$2:$A$11,Sheet3!$C$2:$C$11)</f>
        <v>Electronics</v>
      </c>
      <c r="I39" s="2" t="str">
        <f>_xlfn.XLOOKUP(D39,Sheet3!$A$2:$A$11,Sheet3!$D$2:$D$11)</f>
        <v>TechBrand</v>
      </c>
      <c r="J39" s="3">
        <f>Sheet1!F39* _xlfn.XLOOKUP(D39,Sheet3!$A$2:$A$11,Sheet3!$E$2:$E$11)</f>
        <v>128000</v>
      </c>
    </row>
    <row r="40" spans="1:10" ht="18" customHeight="1" x14ac:dyDescent="0.25">
      <c r="A40" s="2" t="s">
        <v>91</v>
      </c>
      <c r="B40" s="2" t="s">
        <v>92</v>
      </c>
      <c r="C40" s="2" t="str">
        <f t="shared" si="0"/>
        <v>Oct</v>
      </c>
      <c r="D40" s="2" t="s">
        <v>37</v>
      </c>
      <c r="E40" s="2" t="s">
        <v>25</v>
      </c>
      <c r="F40" s="2">
        <v>12</v>
      </c>
      <c r="G40" s="2" t="str">
        <f>_xlfn.XLOOKUP(D40,Sheet3!$A$2:$A$11,Sheet3!$B$2:$B$11)</f>
        <v>Desk Lamp LED</v>
      </c>
      <c r="H40" s="2" t="str">
        <f>_xlfn.XLOOKUP(Sheet1!D40,Sheet3!$A$2:$A$11,Sheet3!$C$2:$C$11)</f>
        <v>Furniture</v>
      </c>
      <c r="I40" s="2" t="str">
        <f>_xlfn.XLOOKUP(D40,Sheet3!$A$2:$A$11,Sheet3!$D$2:$D$11)</f>
        <v>ComfortZone</v>
      </c>
      <c r="J40" s="3">
        <f>Sheet1!F40* _xlfn.XLOOKUP(D40,Sheet3!$A$2:$A$11,Sheet3!$E$2:$E$11)</f>
        <v>26400</v>
      </c>
    </row>
    <row r="41" spans="1:10" ht="18" customHeight="1" x14ac:dyDescent="0.25">
      <c r="A41" s="4" t="s">
        <v>93</v>
      </c>
      <c r="B41" s="4" t="s">
        <v>94</v>
      </c>
      <c r="C41" s="2" t="str">
        <f t="shared" si="0"/>
        <v>Nov</v>
      </c>
      <c r="D41" s="4" t="s">
        <v>8</v>
      </c>
      <c r="E41" s="4" t="s">
        <v>9</v>
      </c>
      <c r="F41" s="4">
        <v>12</v>
      </c>
      <c r="G41" s="2" t="str">
        <f>_xlfn.XLOOKUP(D41,Sheet3!$A$2:$A$11,Sheet3!$B$2:$B$11)</f>
        <v>Laptop Pro</v>
      </c>
      <c r="H41" s="2" t="str">
        <f>_xlfn.XLOOKUP(Sheet1!D41,Sheet3!$A$2:$A$11,Sheet3!$C$2:$C$11)</f>
        <v>Electronics</v>
      </c>
      <c r="I41" s="2" t="str">
        <f>_xlfn.XLOOKUP(D41,Sheet3!$A$2:$A$11,Sheet3!$D$2:$D$11)</f>
        <v>TechBrand</v>
      </c>
      <c r="J41" s="3">
        <f>Sheet1!F41* _xlfn.XLOOKUP(D41,Sheet3!$A$2:$A$11,Sheet3!$E$2:$E$11)</f>
        <v>660000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EB842-4D4B-49F4-80EC-14A572197B6D}">
  <dimension ref="A1:E11"/>
  <sheetViews>
    <sheetView workbookViewId="0">
      <selection activeCell="C16" sqref="C16"/>
    </sheetView>
  </sheetViews>
  <sheetFormatPr defaultRowHeight="15" x14ac:dyDescent="0.25"/>
  <cols>
    <col min="1" max="5" width="20.7109375" customWidth="1"/>
  </cols>
  <sheetData>
    <row r="1" spans="1:5" ht="18" customHeight="1" x14ac:dyDescent="0.25">
      <c r="A1" s="5" t="s">
        <v>2</v>
      </c>
      <c r="B1" s="5" t="s">
        <v>95</v>
      </c>
      <c r="C1" s="5" t="s">
        <v>96</v>
      </c>
      <c r="D1" s="5" t="s">
        <v>97</v>
      </c>
      <c r="E1" s="5" t="s">
        <v>98</v>
      </c>
    </row>
    <row r="2" spans="1:5" ht="18" customHeight="1" x14ac:dyDescent="0.25">
      <c r="A2" s="6" t="s">
        <v>8</v>
      </c>
      <c r="B2" s="6" t="s">
        <v>99</v>
      </c>
      <c r="C2" s="6" t="s">
        <v>100</v>
      </c>
      <c r="D2" s="6" t="s">
        <v>101</v>
      </c>
      <c r="E2" s="7">
        <v>55000</v>
      </c>
    </row>
    <row r="3" spans="1:5" ht="18" customHeight="1" x14ac:dyDescent="0.25">
      <c r="A3" s="2" t="s">
        <v>12</v>
      </c>
      <c r="B3" s="2" t="s">
        <v>102</v>
      </c>
      <c r="C3" s="2" t="s">
        <v>103</v>
      </c>
      <c r="D3" s="2" t="s">
        <v>101</v>
      </c>
      <c r="E3" s="8">
        <v>1200</v>
      </c>
    </row>
    <row r="4" spans="1:5" ht="18" customHeight="1" x14ac:dyDescent="0.25">
      <c r="A4" s="6" t="s">
        <v>16</v>
      </c>
      <c r="B4" s="6" t="s">
        <v>104</v>
      </c>
      <c r="C4" s="6" t="s">
        <v>105</v>
      </c>
      <c r="D4" s="6" t="s">
        <v>106</v>
      </c>
      <c r="E4" s="7">
        <v>15000</v>
      </c>
    </row>
    <row r="5" spans="1:5" ht="18" customHeight="1" x14ac:dyDescent="0.25">
      <c r="A5" s="2" t="s">
        <v>20</v>
      </c>
      <c r="B5" s="2" t="s">
        <v>107</v>
      </c>
      <c r="C5" s="2" t="s">
        <v>108</v>
      </c>
      <c r="D5" s="2" t="s">
        <v>109</v>
      </c>
      <c r="E5" s="8">
        <v>450</v>
      </c>
    </row>
    <row r="6" spans="1:5" ht="18" customHeight="1" x14ac:dyDescent="0.25">
      <c r="A6" s="6" t="s">
        <v>24</v>
      </c>
      <c r="B6" s="6" t="s">
        <v>110</v>
      </c>
      <c r="C6" s="6" t="s">
        <v>103</v>
      </c>
      <c r="D6" s="6" t="s">
        <v>101</v>
      </c>
      <c r="E6" s="7">
        <v>3500</v>
      </c>
    </row>
    <row r="7" spans="1:5" ht="18" customHeight="1" x14ac:dyDescent="0.25">
      <c r="A7" s="2" t="s">
        <v>28</v>
      </c>
      <c r="B7" s="2" t="s">
        <v>111</v>
      </c>
      <c r="C7" s="2" t="s">
        <v>105</v>
      </c>
      <c r="D7" s="2" t="s">
        <v>106</v>
      </c>
      <c r="E7" s="8">
        <v>28000</v>
      </c>
    </row>
    <row r="8" spans="1:5" ht="18" customHeight="1" x14ac:dyDescent="0.25">
      <c r="A8" s="6" t="s">
        <v>31</v>
      </c>
      <c r="B8" s="6" t="s">
        <v>112</v>
      </c>
      <c r="C8" s="6" t="s">
        <v>100</v>
      </c>
      <c r="D8" s="6" t="s">
        <v>101</v>
      </c>
      <c r="E8" s="7">
        <v>4500</v>
      </c>
    </row>
    <row r="9" spans="1:5" ht="18" customHeight="1" x14ac:dyDescent="0.25">
      <c r="A9" s="2" t="s">
        <v>52</v>
      </c>
      <c r="B9" s="2" t="s">
        <v>113</v>
      </c>
      <c r="C9" s="2" t="s">
        <v>103</v>
      </c>
      <c r="D9" s="2" t="s">
        <v>114</v>
      </c>
      <c r="E9" s="8">
        <v>850</v>
      </c>
    </row>
    <row r="10" spans="1:5" ht="18" customHeight="1" x14ac:dyDescent="0.25">
      <c r="A10" s="6" t="s">
        <v>34</v>
      </c>
      <c r="B10" s="6" t="s">
        <v>115</v>
      </c>
      <c r="C10" s="6" t="s">
        <v>100</v>
      </c>
      <c r="D10" s="6" t="s">
        <v>101</v>
      </c>
      <c r="E10" s="7">
        <v>32000</v>
      </c>
    </row>
    <row r="11" spans="1:5" ht="18" customHeight="1" x14ac:dyDescent="0.25">
      <c r="A11" s="2" t="s">
        <v>37</v>
      </c>
      <c r="B11" s="2" t="s">
        <v>116</v>
      </c>
      <c r="C11" s="2" t="s">
        <v>105</v>
      </c>
      <c r="D11" s="2" t="s">
        <v>106</v>
      </c>
      <c r="E11" s="8">
        <v>2200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Mejbaul</cp:lastModifiedBy>
  <dcterms:created xsi:type="dcterms:W3CDTF">2026-05-05T14:02:28Z</dcterms:created>
  <dcterms:modified xsi:type="dcterms:W3CDTF">2026-09-17T17:36:49Z</dcterms:modified>
</cp:coreProperties>
</file>